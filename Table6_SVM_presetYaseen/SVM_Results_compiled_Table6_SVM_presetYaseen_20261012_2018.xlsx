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6_SVM_presetYaseen\"/>
    </mc:Choice>
  </mc:AlternateContent>
  <xr:revisionPtr revIDLastSave="0" documentId="13_ncr:1_{12D99DD4-C6BE-4F9B-B501-3BFA48B9848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V_MeanSD" sheetId="2" r:id="rId1"/>
    <sheet name="CV_test_Mean" sheetId="3" r:id="rId2"/>
    <sheet name="pub_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0" i="5"/>
  <c r="B11" i="5"/>
  <c r="B12" i="5"/>
  <c r="B13" i="5"/>
  <c r="B14" i="5"/>
  <c r="B9" i="5"/>
</calcChain>
</file>

<file path=xl/sharedStrings.xml><?xml version="1.0" encoding="utf-8"?>
<sst xmlns="http://schemas.openxmlformats.org/spreadsheetml/2006/main" count="145" uniqueCount="79">
  <si>
    <t>filename</t>
  </si>
  <si>
    <t>GeMAPS_preset_Physionet_20261012_201622</t>
  </si>
  <si>
    <t>combined_preset_Physionet_20261012_201622</t>
  </si>
  <si>
    <t>shen_preset_Physionet_20261012_201202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</si>
  <si>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</si>
  <si>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</si>
  <si>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</si>
  <si>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</si>
  <si>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</si>
  <si>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</si>
  <si>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</si>
  <si>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</si>
  <si>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</si>
  <si>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</si>
  <si>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</si>
  <si>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</si>
  <si>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</si>
  <si>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</si>
  <si>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</si>
  <si>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</si>
  <si>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</si>
  <si>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</si>
  <si>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</si>
  <si>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GeMAPS_preset_Physionet_20261012_201622_CV</t>
  </si>
  <si>
    <t>GeMAPS_preset_Physionet_20261012_201622_Test</t>
  </si>
  <si>
    <t>combined_preset_Physionet_20261012_201622_CV</t>
  </si>
  <si>
    <t>combined_preset_Physionet_20261012_201622_Test</t>
  </si>
  <si>
    <t>shen_preset_Physionet_20261012_201202_CV</t>
  </si>
  <si>
    <t>shen_preset_Physionet_20261012_201202_Test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</si>
  <si>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</si>
  <si>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</si>
  <si>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</si>
  <si>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</si>
  <si>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</si>
  <si>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</si>
  <si>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</si>
  <si>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</si>
  <si>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</si>
  <si>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</si>
  <si>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GeMAPS_preset_Physionet_20261012_201622_CV</t>
  </si>
  <si>
    <t>GeMAPS_preset_Physionet_20261012_201622_Test</t>
  </si>
  <si>
    <t>combined_preset_Physionet_20261012_201622_CV</t>
  </si>
  <si>
    <t>combined_preset_Physionet_20261012_201622_Test</t>
  </si>
  <si>
    <t>shen_preset_Physionet_20261012_201202_CV</t>
  </si>
  <si>
    <t>shen_preset_Physionet_20261012_201202_Test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</si>
  <si>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</si>
  <si>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</si>
  <si>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</si>
  <si>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</si>
  <si>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</si>
  <si>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</si>
  <si>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</si>
  <si>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</si>
  <si>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</si>
  <si>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</si>
  <si>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</si>
  <si>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</si>
  <si>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</si>
  <si>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</si>
  <si>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</si>
  <si>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</si>
  <si>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</si>
  <si>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</si>
  <si>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</si>
  <si>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</si>
  <si>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</si>
  <si>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TN=160, FP=0, FN=0, TP=160</t>
  </si>
  <si>
    <t>TN=40, FP=0, FN=0, TP=40</t>
  </si>
  <si>
    <t>TN=160, FP=0, FN=0, TP=160</t>
  </si>
  <si>
    <t>TN=40, FP=0, FN=0, TP=40</t>
  </si>
  <si>
    <t>TN=159, FP=1, FN=0, TP=160</t>
  </si>
  <si>
    <t>TN=40, FP=0, FN=0, TP=40</t>
  </si>
  <si>
    <t>0.9969 ± 0.0099</t>
  </si>
  <si>
    <t>1.0000 ± 0.0000</t>
  </si>
  <si>
    <t>0.9938 ± 0.0198</t>
  </si>
  <si>
    <t>0.9941 ± 0.0186</t>
  </si>
  <si>
    <t>0.9970 ± 0.0096</t>
  </si>
  <si>
    <t>0.9939 ± 0.0192</t>
  </si>
  <si>
    <t>0.9996 ± 0.0012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</si>
</sst>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/>
  </sheetViews>
  <sheetFormatPr defaultRowHeight="15" x14ac:dyDescent="0.25"/>
  <cols>
    <col min="1" max="1" width="42.5703125" customWidth="1"/>
    <col min="2" max="2" width="18.140625" customWidth="1"/>
    <col min="3" max="3" width="15.85546875" customWidth="1"/>
    <col min="4" max="4" width="14.5703125" customWidth="1"/>
    <col min="5" max="5" width="12.2851562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" customWidth="1"/>
    <col min="12" max="12" width="8.85546875" customWidth="1"/>
    <col min="13" max="13" width="6.5703125" customWidth="1"/>
    <col min="14" max="14" width="10.5703125" customWidth="1"/>
    <col min="15" max="15" width="8.28515625" customWidth="1"/>
    <col min="16" max="16" width="12.42578125" customWidth="1"/>
    <col min="17" max="17" width="15.5703125" customWidth="1"/>
    <col min="18" max="18" width="10.140625" customWidth="1"/>
    <col min="19" max="19" width="7.855468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0.99999999999999978</v>
      </c>
      <c r="Q2">
        <v>2.3405556457178008E-16</v>
      </c>
      <c r="R2">
        <v>1</v>
      </c>
      <c r="S2">
        <v>0</v>
      </c>
    </row>
    <row r="3" spans="1:19" x14ac:dyDescent="0.25">
      <c r="A3" t="s">
        <v>2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0.99999999999999978</v>
      </c>
      <c r="Q3">
        <v>2.3405556457178008E-16</v>
      </c>
      <c r="R3">
        <v>1</v>
      </c>
      <c r="S3">
        <v>0</v>
      </c>
    </row>
    <row r="4" spans="1:19" x14ac:dyDescent="0.25">
      <c r="A4" t="s">
        <v>3</v>
      </c>
      <c r="B4">
        <v>0.99687499999999996</v>
      </c>
      <c r="C4">
        <v>9.8821176880261839E-3</v>
      </c>
      <c r="D4">
        <v>0.99687499999999996</v>
      </c>
      <c r="E4">
        <v>9.8821176880261839E-3</v>
      </c>
      <c r="F4">
        <v>1</v>
      </c>
      <c r="G4">
        <v>0</v>
      </c>
      <c r="H4">
        <v>0.99375000000000002</v>
      </c>
      <c r="I4">
        <v>1.9764235376052368E-2</v>
      </c>
      <c r="J4">
        <v>0.99411764705882355</v>
      </c>
      <c r="K4">
        <v>1.8601633295108114E-2</v>
      </c>
      <c r="L4">
        <v>0.99696969696969684</v>
      </c>
      <c r="M4">
        <v>9.5826595762678428E-3</v>
      </c>
      <c r="N4">
        <v>0.99393364366277237</v>
      </c>
      <c r="O4">
        <v>1.9183503123835634E-2</v>
      </c>
      <c r="P4">
        <v>0.9937499999999998</v>
      </c>
      <c r="Q4">
        <v>1.9764235376052371E-2</v>
      </c>
      <c r="R4">
        <v>0.99960937500000002</v>
      </c>
      <c r="S4">
        <v>1.2352647110032732E-3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" x14ac:dyDescent="0.25"/>
  <cols>
    <col min="1" max="1" width="47.285156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7" width="11.7109375" customWidth="1"/>
    <col min="8" max="8" width="12.7109375" customWidth="1"/>
    <col min="9" max="9" width="12.42578125" customWidth="1"/>
    <col min="10" max="10" width="11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0.99999999999999978</v>
      </c>
      <c r="J2">
        <v>1</v>
      </c>
    </row>
    <row r="3" spans="1:10" x14ac:dyDescent="0.25">
      <c r="A3" t="s">
        <v>24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0.99999999999999956</v>
      </c>
      <c r="J3">
        <v>1</v>
      </c>
    </row>
    <row r="4" spans="1:10" x14ac:dyDescent="0.25">
      <c r="A4" t="s">
        <v>25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0.99999999999999978</v>
      </c>
      <c r="J4">
        <v>1</v>
      </c>
    </row>
    <row r="5" spans="1:10" x14ac:dyDescent="0.25">
      <c r="A5" t="s">
        <v>26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0.99999999999999956</v>
      </c>
      <c r="J5">
        <v>1</v>
      </c>
    </row>
    <row r="6" spans="1:10" x14ac:dyDescent="0.25">
      <c r="A6" t="s">
        <v>27</v>
      </c>
      <c r="B6">
        <v>0.99687499999999996</v>
      </c>
      <c r="C6">
        <v>0.99687499999999996</v>
      </c>
      <c r="D6">
        <v>1</v>
      </c>
      <c r="E6">
        <v>0.99375000000000002</v>
      </c>
      <c r="F6">
        <v>0.99411764705882355</v>
      </c>
      <c r="G6">
        <v>0.99696969696969684</v>
      </c>
      <c r="H6">
        <v>0.99393364366277237</v>
      </c>
      <c r="I6">
        <v>0.9937499999999998</v>
      </c>
      <c r="J6">
        <v>0.99960937500000002</v>
      </c>
    </row>
    <row r="7" spans="1:10" x14ac:dyDescent="0.25">
      <c r="A7" t="s">
        <v>28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0.99999999999999956</v>
      </c>
      <c r="J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abSelected="1" topLeftCell="K1" workbookViewId="0">
      <selection activeCell="T2" sqref="T2:U7"/>
    </sheetView>
  </sheetViews>
  <sheetFormatPr defaultRowHeight="15" x14ac:dyDescent="0.25"/>
  <cols>
    <col min="1" max="1" width="47.28515625" customWidth="1"/>
    <col min="2" max="2" width="18.140625" customWidth="1"/>
    <col min="3" max="3" width="15.85546875" customWidth="1"/>
    <col min="4" max="4" width="14.5703125" customWidth="1"/>
    <col min="5" max="5" width="14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" customWidth="1"/>
    <col min="12" max="12" width="11.7109375" customWidth="1"/>
    <col min="13" max="13" width="14.7109375" customWidth="1"/>
    <col min="14" max="14" width="12.7109375" customWidth="1"/>
    <col min="15" max="15" width="13.7109375" customWidth="1"/>
    <col min="16" max="16" width="12.42578125" customWidth="1"/>
    <col min="17" max="17" width="15.5703125" customWidth="1"/>
    <col min="18" max="18" width="11.7109375" customWidth="1"/>
    <col min="19" max="19" width="14.7109375" customWidth="1"/>
    <col min="20" max="20" width="20.140625" customWidth="1"/>
    <col min="21" max="21" width="20.7109375" customWidth="1"/>
    <col min="22" max="22" width="25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43</v>
      </c>
      <c r="B2">
        <v>0.99687499999999996</v>
      </c>
      <c r="C2">
        <v>9.8821176880261839E-3</v>
      </c>
      <c r="D2">
        <v>0.99687499999999996</v>
      </c>
      <c r="E2">
        <v>9.8821176880261839E-3</v>
      </c>
      <c r="F2">
        <v>1</v>
      </c>
      <c r="G2">
        <v>0</v>
      </c>
      <c r="H2">
        <v>0.99375000000000002</v>
      </c>
      <c r="I2">
        <v>1.9764235376052368E-2</v>
      </c>
      <c r="J2">
        <v>0.99411764705882355</v>
      </c>
      <c r="K2">
        <v>1.8601633295108114E-2</v>
      </c>
      <c r="L2">
        <v>0.99696969696969684</v>
      </c>
      <c r="M2">
        <v>9.5826595762678428E-3</v>
      </c>
      <c r="N2">
        <v>0.99393364366277237</v>
      </c>
      <c r="O2">
        <v>1.9183503123835634E-2</v>
      </c>
      <c r="P2">
        <v>0.9937499999999998</v>
      </c>
      <c r="Q2">
        <v>1.9764235376052371E-2</v>
      </c>
      <c r="R2">
        <v>0.99960937500000002</v>
      </c>
      <c r="S2">
        <v>1.2352647110032732E-3</v>
      </c>
      <c r="T2" s="1">
        <v>9.4600009999999998E-2</v>
      </c>
      <c r="U2" s="1">
        <v>2.9562503124999999</v>
      </c>
      <c r="V2" t="s">
        <v>70</v>
      </c>
    </row>
    <row r="3" spans="1:22" x14ac:dyDescent="0.25">
      <c r="A3" t="s">
        <v>44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  <c r="N3">
        <v>1</v>
      </c>
      <c r="P3">
        <v>0.99999999999999956</v>
      </c>
      <c r="R3">
        <v>1</v>
      </c>
      <c r="T3" s="1">
        <v>1.7107939999999999</v>
      </c>
      <c r="U3" s="1">
        <v>21.384924999999999</v>
      </c>
      <c r="V3" t="s">
        <v>71</v>
      </c>
    </row>
    <row r="4" spans="1:22" x14ac:dyDescent="0.25">
      <c r="A4" t="s">
        <v>39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0.99999999999999978</v>
      </c>
      <c r="Q4">
        <v>2.3405556457178008E-16</v>
      </c>
      <c r="R4">
        <v>1</v>
      </c>
      <c r="S4">
        <v>0</v>
      </c>
      <c r="T4" s="1">
        <v>1.2245420000000002E-2</v>
      </c>
      <c r="U4" s="1">
        <v>0.38266937499999998</v>
      </c>
      <c r="V4" t="s">
        <v>66</v>
      </c>
    </row>
    <row r="5" spans="1:22" x14ac:dyDescent="0.25">
      <c r="A5" t="s">
        <v>40</v>
      </c>
      <c r="B5">
        <v>1</v>
      </c>
      <c r="D5">
        <v>1</v>
      </c>
      <c r="F5">
        <v>1</v>
      </c>
      <c r="H5">
        <v>1</v>
      </c>
      <c r="J5">
        <v>1</v>
      </c>
      <c r="L5">
        <v>1</v>
      </c>
      <c r="N5">
        <v>1</v>
      </c>
      <c r="P5">
        <v>0.99999999999999956</v>
      </c>
      <c r="R5">
        <v>1</v>
      </c>
      <c r="T5" s="1">
        <v>0.25285190000000002</v>
      </c>
      <c r="U5" s="1">
        <v>3.1606487500000005</v>
      </c>
      <c r="V5" t="s">
        <v>67</v>
      </c>
    </row>
    <row r="6" spans="1:22" x14ac:dyDescent="0.25">
      <c r="A6" t="s">
        <v>41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0.99999999999999978</v>
      </c>
      <c r="Q6">
        <v>2.3405556457178008E-16</v>
      </c>
      <c r="R6">
        <v>1</v>
      </c>
      <c r="S6">
        <v>0</v>
      </c>
      <c r="T6" s="1">
        <v>1.3080820000000002E-2</v>
      </c>
      <c r="U6" s="1">
        <v>0.40877562499999998</v>
      </c>
      <c r="V6" t="s">
        <v>68</v>
      </c>
    </row>
    <row r="7" spans="1:22" x14ac:dyDescent="0.25">
      <c r="A7" t="s">
        <v>42</v>
      </c>
      <c r="B7">
        <v>1</v>
      </c>
      <c r="D7">
        <v>1</v>
      </c>
      <c r="F7">
        <v>1</v>
      </c>
      <c r="H7">
        <v>1</v>
      </c>
      <c r="J7">
        <v>1</v>
      </c>
      <c r="L7">
        <v>1</v>
      </c>
      <c r="N7">
        <v>1</v>
      </c>
      <c r="P7">
        <v>0.99999999999999956</v>
      </c>
      <c r="R7">
        <v>1</v>
      </c>
      <c r="T7" s="1">
        <v>0.23829520000000001</v>
      </c>
      <c r="U7" s="1">
        <v>2.9786899999999998</v>
      </c>
      <c r="V7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7B69-4AB8-4848-B186-E9DA94C37FC2}">
  <dimension ref="A1:S21"/>
  <sheetViews>
    <sheetView topLeftCell="A6" workbookViewId="0">
      <selection activeCell="D16" sqref="D16:K21"/>
    </sheetView>
  </sheetViews>
  <sheetFormatPr defaultRowHeight="15" x14ac:dyDescent="0.25"/>
  <cols>
    <col min="1" max="1" width="48.42578125" bestFit="1" customWidth="1"/>
    <col min="2" max="19" width="13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27</v>
      </c>
      <c r="B2">
        <v>0.99687499999999996</v>
      </c>
      <c r="C2">
        <v>9.8821176880261839E-3</v>
      </c>
      <c r="D2">
        <v>0.99687499999999996</v>
      </c>
      <c r="E2">
        <v>9.8821176880261839E-3</v>
      </c>
      <c r="F2">
        <v>1</v>
      </c>
      <c r="G2">
        <v>0</v>
      </c>
      <c r="H2">
        <v>0.99375000000000002</v>
      </c>
      <c r="I2">
        <v>1.9764235376052368E-2</v>
      </c>
      <c r="J2">
        <v>0.99411764705882355</v>
      </c>
      <c r="K2">
        <v>1.8601633295108114E-2</v>
      </c>
      <c r="L2">
        <v>0.99696969696969684</v>
      </c>
      <c r="M2">
        <v>9.5826595762678428E-3</v>
      </c>
      <c r="N2">
        <v>0.99393364366277237</v>
      </c>
      <c r="O2">
        <v>1.9183503123835634E-2</v>
      </c>
      <c r="P2">
        <v>0.9937499999999998</v>
      </c>
      <c r="Q2">
        <v>1.9764235376052371E-2</v>
      </c>
      <c r="R2">
        <v>0.99960937500000002</v>
      </c>
      <c r="S2">
        <v>1.2352647110032732E-3</v>
      </c>
    </row>
    <row r="3" spans="1:19" x14ac:dyDescent="0.25">
      <c r="A3" t="s">
        <v>28</v>
      </c>
      <c r="B3">
        <v>1</v>
      </c>
      <c r="D3">
        <v>1</v>
      </c>
      <c r="F3">
        <v>1</v>
      </c>
      <c r="H3">
        <v>1</v>
      </c>
      <c r="J3">
        <v>1</v>
      </c>
      <c r="L3">
        <v>1</v>
      </c>
      <c r="N3">
        <v>1</v>
      </c>
      <c r="P3">
        <v>0.99999999999999956</v>
      </c>
      <c r="R3">
        <v>1</v>
      </c>
    </row>
    <row r="4" spans="1:19" x14ac:dyDescent="0.25">
      <c r="A4" t="s">
        <v>23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0.99999999999999978</v>
      </c>
      <c r="Q4">
        <v>2.3405556457178008E-16</v>
      </c>
      <c r="R4">
        <v>1</v>
      </c>
      <c r="S4">
        <v>0</v>
      </c>
    </row>
    <row r="5" spans="1:19" x14ac:dyDescent="0.25">
      <c r="A5" t="s">
        <v>24</v>
      </c>
      <c r="B5">
        <v>1</v>
      </c>
      <c r="D5">
        <v>1</v>
      </c>
      <c r="F5">
        <v>1</v>
      </c>
      <c r="H5">
        <v>1</v>
      </c>
      <c r="J5">
        <v>1</v>
      </c>
      <c r="L5">
        <v>1</v>
      </c>
      <c r="N5">
        <v>1</v>
      </c>
      <c r="P5">
        <v>0.99999999999999956</v>
      </c>
      <c r="R5">
        <v>1</v>
      </c>
    </row>
    <row r="6" spans="1:19" x14ac:dyDescent="0.25">
      <c r="A6" t="s">
        <v>25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0.99999999999999978</v>
      </c>
      <c r="Q6">
        <v>2.3405556457178008E-16</v>
      </c>
      <c r="R6">
        <v>1</v>
      </c>
      <c r="S6">
        <v>0</v>
      </c>
    </row>
    <row r="7" spans="1:19" x14ac:dyDescent="0.25">
      <c r="A7" t="s">
        <v>26</v>
      </c>
      <c r="B7">
        <v>1</v>
      </c>
      <c r="D7">
        <v>1</v>
      </c>
      <c r="F7">
        <v>1</v>
      </c>
      <c r="H7">
        <v>1</v>
      </c>
      <c r="J7">
        <v>1</v>
      </c>
      <c r="L7">
        <v>1</v>
      </c>
      <c r="N7">
        <v>1</v>
      </c>
      <c r="P7">
        <v>0.99999999999999956</v>
      </c>
      <c r="R7">
        <v>1</v>
      </c>
    </row>
    <row r="9" spans="1:19" x14ac:dyDescent="0.25">
      <c r="B9" t="str">
        <f>TEXT(B2,"0.0000") &amp; " ± " &amp; TEXT(C2,"0.0000")</f>
        <v>0.9969 ± 0.0099</v>
      </c>
      <c r="C9" t="str">
        <f t="shared" ref="C9:S14" si="0">TEXT(C2,"0.0000") &amp; " ± " &amp; TEXT(D2,"0.0000")</f>
        <v>0.0099 ± 0.9969</v>
      </c>
      <c r="D9" t="str">
        <f t="shared" si="0"/>
        <v>0.9969 ± 0.0099</v>
      </c>
      <c r="E9" t="str">
        <f t="shared" si="0"/>
        <v>0.0099 ± 1.0000</v>
      </c>
      <c r="F9" t="str">
        <f t="shared" si="0"/>
        <v>1.0000 ± 0.0000</v>
      </c>
      <c r="G9" t="str">
        <f t="shared" si="0"/>
        <v>0.0000 ± 0.9938</v>
      </c>
      <c r="H9" t="str">
        <f t="shared" si="0"/>
        <v>0.9938 ± 0.0198</v>
      </c>
      <c r="I9" t="str">
        <f t="shared" si="0"/>
        <v>0.0198 ± 0.9941</v>
      </c>
      <c r="J9" t="str">
        <f t="shared" si="0"/>
        <v>0.9941 ± 0.0186</v>
      </c>
      <c r="K9" t="str">
        <f t="shared" si="0"/>
        <v>0.0186 ± 0.9970</v>
      </c>
      <c r="L9" t="str">
        <f t="shared" si="0"/>
        <v>0.9970 ± 0.0096</v>
      </c>
      <c r="M9" t="str">
        <f t="shared" si="0"/>
        <v>0.0096 ± 0.9939</v>
      </c>
      <c r="N9" t="str">
        <f t="shared" si="0"/>
        <v>0.9939 ± 0.0192</v>
      </c>
      <c r="O9" t="str">
        <f t="shared" si="0"/>
        <v>0.0192 ± 0.9938</v>
      </c>
      <c r="P9" t="str">
        <f t="shared" si="0"/>
        <v>0.9938 ± 0.0198</v>
      </c>
      <c r="Q9" t="str">
        <f t="shared" si="0"/>
        <v>0.0198 ± 0.9996</v>
      </c>
      <c r="R9" t="str">
        <f t="shared" si="0"/>
        <v>0.9996 ± 0.0012</v>
      </c>
      <c r="S9" t="str">
        <f t="shared" si="0"/>
        <v>0.0012 ± 0.0000</v>
      </c>
    </row>
    <row r="10" spans="1:19" x14ac:dyDescent="0.25">
      <c r="B10" t="str">
        <f t="shared" ref="B10:Q14" si="1">TEXT(B3,"0.0000") &amp; " ± " &amp; TEXT(C3,"0.0000")</f>
        <v>1.0000 ± 0.0000</v>
      </c>
      <c r="C10" t="str">
        <f t="shared" si="1"/>
        <v>0.0000 ± 1.0000</v>
      </c>
      <c r="D10" t="str">
        <f t="shared" si="1"/>
        <v>1.0000 ± 0.0000</v>
      </c>
      <c r="E10" t="str">
        <f t="shared" si="1"/>
        <v>0.0000 ± 1.0000</v>
      </c>
      <c r="F10" t="str">
        <f t="shared" si="1"/>
        <v>1.0000 ± 0.0000</v>
      </c>
      <c r="G10" t="str">
        <f t="shared" si="1"/>
        <v>0.0000 ± 1.0000</v>
      </c>
      <c r="H10" t="str">
        <f t="shared" si="1"/>
        <v>1.0000 ± 0.0000</v>
      </c>
      <c r="I10" t="str">
        <f t="shared" si="1"/>
        <v>0.0000 ± 1.0000</v>
      </c>
      <c r="J10" t="str">
        <f t="shared" si="1"/>
        <v>1.0000 ± 0.0000</v>
      </c>
      <c r="K10" t="str">
        <f t="shared" si="1"/>
        <v>0.0000 ± 1.0000</v>
      </c>
      <c r="L10" t="str">
        <f t="shared" si="1"/>
        <v>1.0000 ± 0.0000</v>
      </c>
      <c r="M10" t="str">
        <f t="shared" si="1"/>
        <v>0.0000 ± 1.0000</v>
      </c>
      <c r="N10" t="str">
        <f t="shared" si="1"/>
        <v>1.0000 ± 0.0000</v>
      </c>
      <c r="O10" t="str">
        <f t="shared" si="1"/>
        <v>0.0000 ± 1.0000</v>
      </c>
      <c r="P10" t="str">
        <f t="shared" si="1"/>
        <v>1.0000 ± 0.0000</v>
      </c>
      <c r="Q10" t="str">
        <f t="shared" si="1"/>
        <v>0.0000 ± 1.0000</v>
      </c>
      <c r="R10" t="str">
        <f t="shared" si="0"/>
        <v>1.0000 ± 0.0000</v>
      </c>
      <c r="S10" t="str">
        <f t="shared" si="0"/>
        <v>0.0000 ± 0.0000</v>
      </c>
    </row>
    <row r="11" spans="1:19" x14ac:dyDescent="0.25">
      <c r="B11" t="str">
        <f t="shared" si="1"/>
        <v>1.0000 ± 0.0000</v>
      </c>
      <c r="C11" t="str">
        <f t="shared" si="0"/>
        <v>0.0000 ± 1.0000</v>
      </c>
      <c r="D11" t="str">
        <f t="shared" si="0"/>
        <v>1.0000 ± 0.0000</v>
      </c>
      <c r="E11" t="str">
        <f t="shared" si="0"/>
        <v>0.0000 ± 1.0000</v>
      </c>
      <c r="F11" t="str">
        <f t="shared" si="0"/>
        <v>1.0000 ± 0.0000</v>
      </c>
      <c r="G11" t="str">
        <f t="shared" si="0"/>
        <v>0.0000 ± 1.0000</v>
      </c>
      <c r="H11" t="str">
        <f t="shared" si="0"/>
        <v>1.0000 ± 0.0000</v>
      </c>
      <c r="I11" t="str">
        <f t="shared" si="0"/>
        <v>0.0000 ± 1.0000</v>
      </c>
      <c r="J11" t="str">
        <f t="shared" si="0"/>
        <v>1.0000 ± 0.0000</v>
      </c>
      <c r="K11" t="str">
        <f t="shared" si="0"/>
        <v>0.0000 ± 1.0000</v>
      </c>
      <c r="L11" t="str">
        <f t="shared" si="0"/>
        <v>1.0000 ± 0.0000</v>
      </c>
      <c r="M11" t="str">
        <f t="shared" si="0"/>
        <v>0.0000 ± 1.0000</v>
      </c>
      <c r="N11" t="str">
        <f t="shared" si="0"/>
        <v>1.0000 ± 0.0000</v>
      </c>
      <c r="O11" t="str">
        <f t="shared" si="0"/>
        <v>0.0000 ± 1.0000</v>
      </c>
      <c r="P11" t="str">
        <f t="shared" si="0"/>
        <v>1.0000 ± 0.0000</v>
      </c>
      <c r="Q11" t="str">
        <f t="shared" si="0"/>
        <v>0.0000 ± 1.0000</v>
      </c>
      <c r="R11" t="str">
        <f t="shared" si="0"/>
        <v>1.0000 ± 0.0000</v>
      </c>
      <c r="S11" t="str">
        <f t="shared" si="0"/>
        <v>0.0000 ± 0.0000</v>
      </c>
    </row>
    <row r="12" spans="1:19" x14ac:dyDescent="0.25">
      <c r="B12" t="str">
        <f t="shared" si="1"/>
        <v>1.0000 ± 0.0000</v>
      </c>
      <c r="C12" t="str">
        <f t="shared" si="0"/>
        <v>0.0000 ± 1.0000</v>
      </c>
      <c r="D12" t="str">
        <f t="shared" si="0"/>
        <v>1.0000 ± 0.0000</v>
      </c>
      <c r="E12" t="str">
        <f t="shared" si="0"/>
        <v>0.0000 ± 1.0000</v>
      </c>
      <c r="F12" t="str">
        <f t="shared" si="0"/>
        <v>1.0000 ± 0.0000</v>
      </c>
      <c r="G12" t="str">
        <f t="shared" si="0"/>
        <v>0.0000 ± 1.0000</v>
      </c>
      <c r="H12" t="str">
        <f t="shared" si="0"/>
        <v>1.0000 ± 0.0000</v>
      </c>
      <c r="I12" t="str">
        <f t="shared" si="0"/>
        <v>0.0000 ± 1.0000</v>
      </c>
      <c r="J12" t="str">
        <f t="shared" si="0"/>
        <v>1.0000 ± 0.0000</v>
      </c>
      <c r="K12" t="str">
        <f t="shared" si="0"/>
        <v>0.0000 ± 1.0000</v>
      </c>
      <c r="L12" t="str">
        <f t="shared" si="0"/>
        <v>1.0000 ± 0.0000</v>
      </c>
      <c r="M12" t="str">
        <f t="shared" si="0"/>
        <v>0.0000 ± 1.0000</v>
      </c>
      <c r="N12" t="str">
        <f t="shared" si="0"/>
        <v>1.0000 ± 0.0000</v>
      </c>
      <c r="O12" t="str">
        <f t="shared" si="0"/>
        <v>0.0000 ± 1.0000</v>
      </c>
      <c r="P12" t="str">
        <f t="shared" si="0"/>
        <v>1.0000 ± 0.0000</v>
      </c>
      <c r="Q12" t="str">
        <f t="shared" si="0"/>
        <v>0.0000 ± 1.0000</v>
      </c>
      <c r="R12" t="str">
        <f t="shared" si="0"/>
        <v>1.0000 ± 0.0000</v>
      </c>
      <c r="S12" t="str">
        <f t="shared" si="0"/>
        <v>0.0000 ± 0.0000</v>
      </c>
    </row>
    <row r="13" spans="1:19" x14ac:dyDescent="0.25">
      <c r="B13" t="str">
        <f t="shared" si="1"/>
        <v>1.0000 ± 0.0000</v>
      </c>
      <c r="C13" t="str">
        <f t="shared" si="0"/>
        <v>0.0000 ± 1.0000</v>
      </c>
      <c r="D13" t="str">
        <f t="shared" si="0"/>
        <v>1.0000 ± 0.0000</v>
      </c>
      <c r="E13" t="str">
        <f t="shared" si="0"/>
        <v>0.0000 ± 1.0000</v>
      </c>
      <c r="F13" t="str">
        <f t="shared" si="0"/>
        <v>1.0000 ± 0.0000</v>
      </c>
      <c r="G13" t="str">
        <f t="shared" si="0"/>
        <v>0.0000 ± 1.0000</v>
      </c>
      <c r="H13" t="str">
        <f t="shared" si="0"/>
        <v>1.0000 ± 0.0000</v>
      </c>
      <c r="I13" t="str">
        <f t="shared" si="0"/>
        <v>0.0000 ± 1.0000</v>
      </c>
      <c r="J13" t="str">
        <f t="shared" si="0"/>
        <v>1.0000 ± 0.0000</v>
      </c>
      <c r="K13" t="str">
        <f t="shared" si="0"/>
        <v>0.0000 ± 1.0000</v>
      </c>
      <c r="L13" t="str">
        <f t="shared" si="0"/>
        <v>1.0000 ± 0.0000</v>
      </c>
      <c r="M13" t="str">
        <f t="shared" si="0"/>
        <v>0.0000 ± 1.0000</v>
      </c>
      <c r="N13" t="str">
        <f t="shared" si="0"/>
        <v>1.0000 ± 0.0000</v>
      </c>
      <c r="O13" t="str">
        <f t="shared" si="0"/>
        <v>0.0000 ± 1.0000</v>
      </c>
      <c r="P13" t="str">
        <f t="shared" si="0"/>
        <v>1.0000 ± 0.0000</v>
      </c>
      <c r="Q13" t="str">
        <f t="shared" si="0"/>
        <v>0.0000 ± 1.0000</v>
      </c>
      <c r="R13" t="str">
        <f t="shared" si="0"/>
        <v>1.0000 ± 0.0000</v>
      </c>
      <c r="S13" t="str">
        <f t="shared" si="0"/>
        <v>0.0000 ± 0.0000</v>
      </c>
    </row>
    <row r="14" spans="1:19" x14ac:dyDescent="0.25">
      <c r="B14" t="str">
        <f t="shared" si="1"/>
        <v>1.0000 ± 0.0000</v>
      </c>
      <c r="C14" t="str">
        <f t="shared" si="0"/>
        <v>0.0000 ± 1.0000</v>
      </c>
      <c r="D14" t="str">
        <f t="shared" si="0"/>
        <v>1.0000 ± 0.0000</v>
      </c>
      <c r="E14" t="str">
        <f t="shared" si="0"/>
        <v>0.0000 ± 1.0000</v>
      </c>
      <c r="F14" t="str">
        <f t="shared" si="0"/>
        <v>1.0000 ± 0.0000</v>
      </c>
      <c r="G14" t="str">
        <f t="shared" si="0"/>
        <v>0.0000 ± 1.0000</v>
      </c>
      <c r="H14" t="str">
        <f t="shared" si="0"/>
        <v>1.0000 ± 0.0000</v>
      </c>
      <c r="I14" t="str">
        <f t="shared" si="0"/>
        <v>0.0000 ± 1.0000</v>
      </c>
      <c r="J14" t="str">
        <f t="shared" si="0"/>
        <v>1.0000 ± 0.0000</v>
      </c>
      <c r="K14" t="str">
        <f t="shared" si="0"/>
        <v>0.0000 ± 1.0000</v>
      </c>
      <c r="L14" t="str">
        <f t="shared" si="0"/>
        <v>1.0000 ± 0.0000</v>
      </c>
      <c r="M14" t="str">
        <f t="shared" si="0"/>
        <v>0.0000 ± 1.0000</v>
      </c>
      <c r="N14" t="str">
        <f t="shared" si="0"/>
        <v>1.0000 ± 0.0000</v>
      </c>
      <c r="O14" t="str">
        <f t="shared" si="0"/>
        <v>0.0000 ± 1.0000</v>
      </c>
      <c r="P14" t="str">
        <f t="shared" si="0"/>
        <v>1.0000 ± 0.0000</v>
      </c>
      <c r="Q14" t="str">
        <f t="shared" si="0"/>
        <v>0.0000 ± 1.0000</v>
      </c>
      <c r="R14" t="str">
        <f t="shared" si="0"/>
        <v>1.0000 ± 0.0000</v>
      </c>
      <c r="S14" t="str">
        <f t="shared" si="0"/>
        <v>0.0000 ± 0.0000</v>
      </c>
    </row>
    <row r="16" spans="1:19" x14ac:dyDescent="0.25"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74</v>
      </c>
      <c r="K16" t="s">
        <v>78</v>
      </c>
    </row>
    <row r="17" spans="4:11" x14ac:dyDescent="0.25"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</row>
    <row r="18" spans="4:11" x14ac:dyDescent="0.25"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</row>
    <row r="19" spans="4:11" x14ac:dyDescent="0.25"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</row>
    <row r="20" spans="4:11" x14ac:dyDescent="0.25"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</row>
    <row r="21" spans="4:11" x14ac:dyDescent="0.25"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2026-10-17T07:20:40Z</dcterms:modified>
</cp:coreProperties>
</file>