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MATLAB files\Matlab files - GeMAPS paper\Second Revision - GeMAPS\Table12_SVM_presetMergedDataset\SVMclassification\"/>
    </mc:Choice>
  </mc:AlternateContent>
  <xr:revisionPtr revIDLastSave="0" documentId="13_ncr:1_{8EEB110D-75C6-4C5C-9BA0-AF3EA5F593B5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CV_MeanSD" sheetId="2" r:id="rId1"/>
    <sheet name="CV_test_Mean" sheetId="3" r:id="rId2"/>
    <sheet name="pub_SVMresults" sheetId="4" r:id="rId3"/>
    <sheet name="Sheet1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5" l="1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B10" i="5"/>
  <c r="B11" i="5"/>
  <c r="B12" i="5"/>
  <c r="B13" i="5"/>
  <c r="B14" i="5"/>
  <c r="B9" i="5"/>
</calcChain>
</file>

<file path=xl/sharedStrings.xml><?xml version="1.0" encoding="utf-8"?>
<sst xmlns="http://schemas.openxmlformats.org/spreadsheetml/2006/main" count="145" uniqueCount="119">
  <si>
    <t>filename</t>
  </si>
  <si>
    <t>SVM_Results_crossDataset_GeMAPS_20261012_204538</t>
  </si>
  <si>
    <t>SVM_Results_crossDataset_combined_20261012_204540</t>
  </si>
  <si>
    <t>SVM_Results_crossDataset_shen_20261012_204538</t>
  </si>
  <si>
    <t>mean_balancedAcc</t>
  </si>
  <si>
    <t>std_balancedAcc</t>
  </si>
  <si>
    <t>mean_accuracy</t>
  </si>
  <si>
    <t>std_accuracy</t>
  </si>
  <si>
    <t>mean_sensitivity</t>
  </si>
  <si>
    <t>std_sensitivity</t>
  </si>
  <si>
    <t>mean_specificity</t>
  </si>
  <si>
    <t>std_specificity</t>
  </si>
  <si>
    <t>mean_precision</t>
  </si>
  <si>
    <t>std_precision</t>
  </si>
  <si>
    <t>mean_f1</t>
  </si>
  <si>
    <t>std_f1</t>
  </si>
  <si>
    <t>mean_mcc</t>
  </si>
  <si>
    <t>std_mcc</t>
  </si>
  <si>
    <t>mean_kappa</t>
  </si>
  <si>
    <t>std_kappa</t>
  </si>
  <si>
    <t>mean_auc</t>
  </si>
  <si>
    <t>std_auc</t>
  </si>
  <si>
    <t>filename</t>
  </si>
  <si>
    <t>SVM_Results_crossDataset_GeMAPS_20261012_204538_CV</t>
  </si>
  <si>
    <t>SVM_Results_crossDataset_GeMAPS_20261012_204538_Test</t>
  </si>
  <si>
    <t>SVM_Results_crossDataset_combined_20261012_204540_CV</t>
  </si>
  <si>
    <t>SVM_Results_crossDataset_combined_20261012_204540_Test</t>
  </si>
  <si>
    <t>SVM_Results_crossDataset_shen_20261012_204538_CV</t>
  </si>
  <si>
    <t>SVM_Results_crossDataset_shen_20261012_204538_Test</t>
  </si>
  <si>
    <t>mean_balancedAcc</t>
  </si>
  <si>
    <t>mean_accuracy</t>
  </si>
  <si>
    <t>mean_sensitivity</t>
  </si>
  <si>
    <t>mean_specificity</t>
  </si>
  <si>
    <t>mean_precision</t>
  </si>
  <si>
    <t>mean_f1</t>
  </si>
  <si>
    <t>mean_mcc</t>
  </si>
  <si>
    <t>mean_kappa</t>
  </si>
  <si>
    <t>mean_auc</t>
  </si>
  <si>
    <t>filename</t>
  </si>
  <si>
    <t>SVM_Results_crossDataset_GeMAPS_20261012_204538_CV</t>
  </si>
  <si>
    <t>SVM_Results_crossDataset_GeMAPS_20261012_204538_Test</t>
  </si>
  <si>
    <t>SVM_Results_crossDataset_combined_20261012_204540_CV</t>
  </si>
  <si>
    <t>SVM_Results_crossDataset_combined_20261012_204540_Test</t>
  </si>
  <si>
    <t>SVM_Results_crossDataset_shen_20261012_204538_CV</t>
  </si>
  <si>
    <t>SVM_Results_crossDataset_shen_20261012_204538_Test</t>
  </si>
  <si>
    <t>mean_balancedAcc</t>
  </si>
  <si>
    <t>std_balancedAcc</t>
  </si>
  <si>
    <t>mean_accuracy</t>
  </si>
  <si>
    <t>std_accuracy</t>
  </si>
  <si>
    <t>mean_sensitivity</t>
  </si>
  <si>
    <t>std_sensitivity</t>
  </si>
  <si>
    <t>mean_specificity</t>
  </si>
  <si>
    <t>std_specificity</t>
  </si>
  <si>
    <t>mean_precision</t>
  </si>
  <si>
    <t>std_precision</t>
  </si>
  <si>
    <t>mean_f1</t>
  </si>
  <si>
    <t>std_f1</t>
  </si>
  <si>
    <t>mean_mcc</t>
  </si>
  <si>
    <t>std_mcc</t>
  </si>
  <si>
    <t>mean_kappa</t>
  </si>
  <si>
    <t>std_kappa</t>
  </si>
  <si>
    <t>mean_auc</t>
  </si>
  <si>
    <t>std_auc</t>
  </si>
  <si>
    <t>totalInferenceTime_s</t>
  </si>
  <si>
    <t>avgInferenceTime_ms</t>
  </si>
  <si>
    <t>confMat</t>
  </si>
  <si>
    <t>TN=1761, FP=243, FN=91, TP=527</t>
  </si>
  <si>
    <t>TN=434, FP=66, FN=18, TP=136</t>
  </si>
  <si>
    <t>TN=1804, FP=200, FN=75, TP=543</t>
  </si>
  <si>
    <t>TN=455, FP=45, FN=17, TP=137</t>
  </si>
  <si>
    <t>TN=1787, FP=217, FN=91, TP=527</t>
  </si>
  <si>
    <t>TN=440, FP=60, FN=18, TP=136</t>
  </si>
  <si>
    <t>0.8723 ± 0.0274</t>
  </si>
  <si>
    <t>0.8816 ± 0.0000</t>
  </si>
  <si>
    <t>0.8657 ± 0.0208</t>
  </si>
  <si>
    <t>0.8756 ± 0.0000</t>
  </si>
  <si>
    <t>0.8895 ± 0.0303</t>
  </si>
  <si>
    <t>0.8998 ± 0.0000</t>
  </si>
  <si>
    <t>0.8529 ± 0.0813</t>
  </si>
  <si>
    <t>0.8831 ± 0.0000</t>
  </si>
  <si>
    <t>0.8526 ± 0.0540</t>
  </si>
  <si>
    <t>0.8788 ± 0.0675</t>
  </si>
  <si>
    <t>0.8896 ± 0.0000</t>
  </si>
  <si>
    <t>0.8918 ± 0.0574</t>
  </si>
  <si>
    <t>0.8800 ± 0.0000</t>
  </si>
  <si>
    <t>0.8787 ± 0.0438</t>
  </si>
  <si>
    <t>0.8680 ± 0.0000</t>
  </si>
  <si>
    <t>0.9002 ± 0.0383</t>
  </si>
  <si>
    <t>0.9100 ± 0.0000</t>
  </si>
  <si>
    <t>0.7257 ± 0.0983</t>
  </si>
  <si>
    <t>0.6939 ± 0.0000</t>
  </si>
  <si>
    <t>0.6930 ± 0.0710</t>
  </si>
  <si>
    <t>0.6733 ± 0.0000</t>
  </si>
  <si>
    <t>0.7381 ± 0.0697</t>
  </si>
  <si>
    <t>0.7527 ± 0.0000</t>
  </si>
  <si>
    <t>0.7765 ± 0.0433</t>
  </si>
  <si>
    <t>0.7771 ± 0.0000</t>
  </si>
  <si>
    <t>0.7609 ± 0.0356</t>
  </si>
  <si>
    <t>0.7640 ± 0.0000</t>
  </si>
  <si>
    <t>0.7988 ± 0.0436</t>
  </si>
  <si>
    <t>0.8155 ± 0.0000</t>
  </si>
  <si>
    <t>0.7096 ± 0.0585</t>
  </si>
  <si>
    <t>0.7068 ± 0.0000</t>
  </si>
  <si>
    <t>0.6859 ± 0.0474</t>
  </si>
  <si>
    <t>0.6898 ± 0.0000</t>
  </si>
  <si>
    <t>0.7373 ± 0.0572</t>
  </si>
  <si>
    <t>0.7570 ± 0.0000</t>
  </si>
  <si>
    <t>0.6987 ± 0.0647</t>
  </si>
  <si>
    <t>0.6973 ± 0.0000</t>
  </si>
  <si>
    <t>0.6760 ± 0.0531</t>
  </si>
  <si>
    <t>0.6780 ± 0.0000</t>
  </si>
  <si>
    <t>0.7291 ± 0.0606</t>
  </si>
  <si>
    <t>0.7523 ± 0.0000</t>
  </si>
  <si>
    <t>0.9415 ± 0.0187</t>
  </si>
  <si>
    <t>0.9530 ± 0.0000</t>
  </si>
  <si>
    <t>0.9317 ± 0.0159</t>
  </si>
  <si>
    <t>0.9486 ± 0.0000</t>
  </si>
  <si>
    <t>0.9491 ± 0.0173</t>
  </si>
  <si>
    <t>0.9620 ± 0.0000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</si>
</sst>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"/>
  <sheetViews>
    <sheetView workbookViewId="0"/>
  </sheetViews>
  <sheetFormatPr defaultRowHeight="15" x14ac:dyDescent="0.25"/>
  <cols>
    <col min="1" max="1" width="50.5703125" customWidth="1"/>
    <col min="2" max="2" width="18.140625" customWidth="1"/>
    <col min="3" max="3" width="15.85546875" customWidth="1"/>
    <col min="4" max="4" width="14.5703125" customWidth="1"/>
    <col min="5" max="5" width="13.7109375" customWidth="1"/>
    <col min="6" max="6" width="16.28515625" customWidth="1"/>
    <col min="7" max="7" width="14" customWidth="1"/>
    <col min="8" max="8" width="16.140625" customWidth="1"/>
    <col min="9" max="9" width="13.85546875" customWidth="1"/>
    <col min="10" max="10" width="15.28515625" customWidth="1"/>
    <col min="11" max="11" width="13.7109375" customWidth="1"/>
    <col min="12" max="12" width="12.7109375" customWidth="1"/>
    <col min="13" max="13" width="13.7109375" customWidth="1"/>
    <col min="14" max="14" width="12.7109375" customWidth="1"/>
    <col min="15" max="15" width="13.7109375" customWidth="1"/>
    <col min="16" max="16" width="12.7109375" customWidth="1"/>
    <col min="17" max="17" width="13.7109375" customWidth="1"/>
    <col min="18" max="18" width="12.7109375" customWidth="1"/>
    <col min="19" max="19" width="13.7109375" customWidth="1"/>
  </cols>
  <sheetData>
    <row r="1" spans="1:19" x14ac:dyDescent="0.2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</row>
    <row r="2" spans="1:19" x14ac:dyDescent="0.25">
      <c r="A2" t="s">
        <v>1</v>
      </c>
      <c r="B2">
        <v>0.86567077160469452</v>
      </c>
      <c r="C2">
        <v>2.0751851973759103E-2</v>
      </c>
      <c r="D2">
        <v>0.87260615911531647</v>
      </c>
      <c r="E2">
        <v>2.6795978574988923E-2</v>
      </c>
      <c r="F2">
        <v>0.85261766261237426</v>
      </c>
      <c r="G2">
        <v>5.3973575985694459E-2</v>
      </c>
      <c r="H2">
        <v>0.87872388059701501</v>
      </c>
      <c r="I2">
        <v>4.376621224581137E-2</v>
      </c>
      <c r="J2">
        <v>0.69296253681795072</v>
      </c>
      <c r="K2">
        <v>7.0975288128197783E-2</v>
      </c>
      <c r="L2">
        <v>0.76090824132143153</v>
      </c>
      <c r="M2">
        <v>3.5594326206495538E-2</v>
      </c>
      <c r="N2">
        <v>0.68594851486121078</v>
      </c>
      <c r="O2">
        <v>4.7445764353309258E-2</v>
      </c>
      <c r="P2">
        <v>0.67602244286995927</v>
      </c>
      <c r="Q2">
        <v>5.3146076982319039E-2</v>
      </c>
      <c r="R2">
        <v>0.93170496604760422</v>
      </c>
      <c r="S2">
        <v>1.5883949981155106E-2</v>
      </c>
    </row>
    <row r="3" spans="1:19" x14ac:dyDescent="0.25">
      <c r="A3" t="s">
        <v>2</v>
      </c>
      <c r="B3">
        <v>0.88950410954218861</v>
      </c>
      <c r="C3">
        <v>3.0299178251852625E-2</v>
      </c>
      <c r="D3">
        <v>0.89511218181290464</v>
      </c>
      <c r="E3">
        <v>2.6217584846760348E-2</v>
      </c>
      <c r="F3">
        <v>0.87879428873611842</v>
      </c>
      <c r="G3">
        <v>6.7530865013977509E-2</v>
      </c>
      <c r="H3">
        <v>0.90021393034825881</v>
      </c>
      <c r="I3">
        <v>3.8340056461678484E-2</v>
      </c>
      <c r="J3">
        <v>0.73806757081988406</v>
      </c>
      <c r="K3">
        <v>6.9674583901218307E-2</v>
      </c>
      <c r="L3">
        <v>0.79884055351906957</v>
      </c>
      <c r="M3">
        <v>4.355630472171549E-2</v>
      </c>
      <c r="N3">
        <v>0.73725184344193573</v>
      </c>
      <c r="O3">
        <v>5.7235813424438155E-2</v>
      </c>
      <c r="P3">
        <v>0.72910525799975201</v>
      </c>
      <c r="Q3">
        <v>6.0570235720017386E-2</v>
      </c>
      <c r="R3">
        <v>0.94909734708267224</v>
      </c>
      <c r="S3">
        <v>1.7318086353066291E-2</v>
      </c>
    </row>
    <row r="4" spans="1:19" x14ac:dyDescent="0.25">
      <c r="A4" t="s">
        <v>3</v>
      </c>
      <c r="B4">
        <v>0.87232582592063479</v>
      </c>
      <c r="C4">
        <v>2.7440949072095419E-2</v>
      </c>
      <c r="D4">
        <v>0.88256900705308683</v>
      </c>
      <c r="E4">
        <v>3.2412936762404407E-2</v>
      </c>
      <c r="F4">
        <v>0.85285563194077196</v>
      </c>
      <c r="G4">
        <v>8.1279252055682635E-2</v>
      </c>
      <c r="H4">
        <v>0.89179601990049751</v>
      </c>
      <c r="I4">
        <v>5.7431536094690171E-2</v>
      </c>
      <c r="J4">
        <v>0.72572455656709067</v>
      </c>
      <c r="K4">
        <v>9.834713574738585E-2</v>
      </c>
      <c r="L4">
        <v>0.77645590379908203</v>
      </c>
      <c r="M4">
        <v>4.3309610657853895E-2</v>
      </c>
      <c r="N4">
        <v>0.70963524557400803</v>
      </c>
      <c r="O4">
        <v>5.8513199164657102E-2</v>
      </c>
      <c r="P4">
        <v>0.69868765166833113</v>
      </c>
      <c r="Q4">
        <v>6.4740344217775081E-2</v>
      </c>
      <c r="R4">
        <v>0.94148495557642775</v>
      </c>
      <c r="S4">
        <v>1.8711241510354075E-2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workbookViewId="0"/>
  </sheetViews>
  <sheetFormatPr defaultRowHeight="15" x14ac:dyDescent="0.25"/>
  <cols>
    <col min="1" max="1" width="55.28515625" customWidth="1"/>
    <col min="2" max="2" width="18.140625" customWidth="1"/>
    <col min="3" max="3" width="14.5703125" customWidth="1"/>
    <col min="4" max="4" width="16.28515625" customWidth="1"/>
    <col min="5" max="5" width="16.140625" customWidth="1"/>
    <col min="6" max="6" width="15.28515625" customWidth="1"/>
    <col min="7" max="10" width="12.7109375" customWidth="1"/>
  </cols>
  <sheetData>
    <row r="1" spans="1:10" x14ac:dyDescent="0.25">
      <c r="A1" t="s">
        <v>22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</row>
    <row r="2" spans="1:10" x14ac:dyDescent="0.25">
      <c r="A2" t="s">
        <v>23</v>
      </c>
      <c r="B2">
        <v>0.86567077160469452</v>
      </c>
      <c r="C2">
        <v>0.87260615911531647</v>
      </c>
      <c r="D2">
        <v>0.85261766261237426</v>
      </c>
      <c r="E2">
        <v>0.87872388059701501</v>
      </c>
      <c r="F2">
        <v>0.69296253681795072</v>
      </c>
      <c r="G2">
        <v>0.76090824132143153</v>
      </c>
      <c r="H2">
        <v>0.68594851486121078</v>
      </c>
      <c r="I2">
        <v>0.67602244286995927</v>
      </c>
      <c r="J2">
        <v>0.93170496604760422</v>
      </c>
    </row>
    <row r="3" spans="1:10" x14ac:dyDescent="0.25">
      <c r="A3" t="s">
        <v>24</v>
      </c>
      <c r="B3">
        <v>0.87555844155844154</v>
      </c>
      <c r="C3">
        <v>0.87155963302752293</v>
      </c>
      <c r="D3">
        <v>0.88311688311688308</v>
      </c>
      <c r="E3">
        <v>0.86799999999999999</v>
      </c>
      <c r="F3">
        <v>0.67326732673267331</v>
      </c>
      <c r="G3">
        <v>0.76404494382022459</v>
      </c>
      <c r="H3">
        <v>0.68977584886430021</v>
      </c>
      <c r="I3">
        <v>0.67799868704867261</v>
      </c>
      <c r="J3">
        <v>0.94864935064935063</v>
      </c>
    </row>
    <row r="4" spans="1:10" x14ac:dyDescent="0.25">
      <c r="A4" t="s">
        <v>25</v>
      </c>
      <c r="B4">
        <v>0.88950410954218861</v>
      </c>
      <c r="C4">
        <v>0.89511218181290464</v>
      </c>
      <c r="D4">
        <v>0.87879428873611842</v>
      </c>
      <c r="E4">
        <v>0.90021393034825881</v>
      </c>
      <c r="F4">
        <v>0.73806757081988406</v>
      </c>
      <c r="G4">
        <v>0.79884055351906957</v>
      </c>
      <c r="H4">
        <v>0.73725184344193573</v>
      </c>
      <c r="I4">
        <v>0.72910525799975201</v>
      </c>
      <c r="J4">
        <v>0.94909734708267224</v>
      </c>
    </row>
    <row r="5" spans="1:10" x14ac:dyDescent="0.25">
      <c r="A5" t="s">
        <v>26</v>
      </c>
      <c r="B5">
        <v>0.89980519480519483</v>
      </c>
      <c r="C5">
        <v>0.90519877675840976</v>
      </c>
      <c r="D5">
        <v>0.88961038961038963</v>
      </c>
      <c r="E5">
        <v>0.91</v>
      </c>
      <c r="F5">
        <v>0.75274725274725274</v>
      </c>
      <c r="G5">
        <v>0.81547619047619047</v>
      </c>
      <c r="H5">
        <v>0.75703698542603537</v>
      </c>
      <c r="I5">
        <v>0.75228483456331507</v>
      </c>
      <c r="J5">
        <v>0.96199999999999986</v>
      </c>
    </row>
    <row r="6" spans="1:10" x14ac:dyDescent="0.25">
      <c r="A6" t="s">
        <v>27</v>
      </c>
      <c r="B6">
        <v>0.87232582592063479</v>
      </c>
      <c r="C6">
        <v>0.88256900705308683</v>
      </c>
      <c r="D6">
        <v>0.85285563194077196</v>
      </c>
      <c r="E6">
        <v>0.89179601990049751</v>
      </c>
      <c r="F6">
        <v>0.72572455656709067</v>
      </c>
      <c r="G6">
        <v>0.77645590379908203</v>
      </c>
      <c r="H6">
        <v>0.70963524557400803</v>
      </c>
      <c r="I6">
        <v>0.69868765166833113</v>
      </c>
      <c r="J6">
        <v>0.94148495557642775</v>
      </c>
    </row>
    <row r="7" spans="1:10" x14ac:dyDescent="0.25">
      <c r="A7" t="s">
        <v>28</v>
      </c>
      <c r="B7">
        <v>0.88155844155844154</v>
      </c>
      <c r="C7">
        <v>0.88073394495412849</v>
      </c>
      <c r="D7">
        <v>0.88311688311688308</v>
      </c>
      <c r="E7">
        <v>0.88</v>
      </c>
      <c r="F7">
        <v>0.69387755102040816</v>
      </c>
      <c r="G7">
        <v>0.77714285714285702</v>
      </c>
      <c r="H7">
        <v>0.70676600142942336</v>
      </c>
      <c r="I7">
        <v>0.69731564331996276</v>
      </c>
      <c r="J7">
        <v>0.95303896103896102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7"/>
  <sheetViews>
    <sheetView tabSelected="1" topLeftCell="K1" workbookViewId="0">
      <selection activeCell="T2" sqref="T2:U7"/>
    </sheetView>
  </sheetViews>
  <sheetFormatPr defaultRowHeight="15" x14ac:dyDescent="0.25"/>
  <cols>
    <col min="1" max="1" width="55.28515625" customWidth="1"/>
    <col min="2" max="2" width="18.140625" customWidth="1"/>
    <col min="3" max="3" width="15.85546875" customWidth="1"/>
    <col min="4" max="4" width="14.5703125" customWidth="1"/>
    <col min="5" max="5" width="13.7109375" customWidth="1"/>
    <col min="6" max="6" width="16.28515625" customWidth="1"/>
    <col min="7" max="7" width="14" customWidth="1"/>
    <col min="8" max="8" width="16.140625" customWidth="1"/>
    <col min="9" max="9" width="13.85546875" customWidth="1"/>
    <col min="10" max="10" width="15.28515625" customWidth="1"/>
    <col min="11" max="11" width="13.7109375" customWidth="1"/>
    <col min="12" max="12" width="12.7109375" customWidth="1"/>
    <col min="13" max="13" width="13.7109375" customWidth="1"/>
    <col min="14" max="14" width="12.7109375" customWidth="1"/>
    <col min="15" max="15" width="13.7109375" customWidth="1"/>
    <col min="16" max="16" width="12.7109375" customWidth="1"/>
    <col min="17" max="17" width="13.7109375" customWidth="1"/>
    <col min="18" max="18" width="12.7109375" customWidth="1"/>
    <col min="19" max="19" width="13.7109375" customWidth="1"/>
    <col min="20" max="20" width="20.140625" customWidth="1"/>
    <col min="21" max="21" width="20.7109375" customWidth="1"/>
    <col min="22" max="22" width="29.28515625" customWidth="1"/>
  </cols>
  <sheetData>
    <row r="1" spans="1:22" x14ac:dyDescent="0.25">
      <c r="A1" t="s">
        <v>38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</row>
    <row r="2" spans="1:22" x14ac:dyDescent="0.25">
      <c r="A2" t="s">
        <v>43</v>
      </c>
      <c r="B2">
        <v>0.87232582592063479</v>
      </c>
      <c r="C2">
        <v>2.7440949072095419E-2</v>
      </c>
      <c r="D2">
        <v>0.88256900705308683</v>
      </c>
      <c r="E2">
        <v>3.2412936762404407E-2</v>
      </c>
      <c r="F2">
        <v>0.85285563194077196</v>
      </c>
      <c r="G2">
        <v>8.1279252055682635E-2</v>
      </c>
      <c r="H2">
        <v>0.89179601990049751</v>
      </c>
      <c r="I2">
        <v>5.7431536094690171E-2</v>
      </c>
      <c r="J2">
        <v>0.72572455656709067</v>
      </c>
      <c r="K2">
        <v>9.834713574738585E-2</v>
      </c>
      <c r="L2">
        <v>0.77645590379908203</v>
      </c>
      <c r="M2">
        <v>4.3309610657853895E-2</v>
      </c>
      <c r="N2">
        <v>0.70963524557400803</v>
      </c>
      <c r="O2">
        <v>5.8513199164657102E-2</v>
      </c>
      <c r="P2">
        <v>0.69868765166833113</v>
      </c>
      <c r="Q2">
        <v>6.4740344217775081E-2</v>
      </c>
      <c r="R2">
        <v>0.94148495557642775</v>
      </c>
      <c r="S2">
        <v>1.8711241510354075E-2</v>
      </c>
      <c r="T2" s="1">
        <v>9.6962599999999982E-2</v>
      </c>
      <c r="U2" s="1">
        <v>0.36983973064754883</v>
      </c>
      <c r="V2" t="s">
        <v>70</v>
      </c>
    </row>
    <row r="3" spans="1:22" x14ac:dyDescent="0.25">
      <c r="A3" t="s">
        <v>44</v>
      </c>
      <c r="B3">
        <v>0.88155844155844154</v>
      </c>
      <c r="D3">
        <v>0.88073394495412849</v>
      </c>
      <c r="F3">
        <v>0.88311688311688308</v>
      </c>
      <c r="H3">
        <v>0.88</v>
      </c>
      <c r="J3">
        <v>0.69387755102040816</v>
      </c>
      <c r="L3">
        <v>0.77714285714285702</v>
      </c>
      <c r="N3">
        <v>0.70676600142942336</v>
      </c>
      <c r="P3">
        <v>0.69731564331996276</v>
      </c>
      <c r="R3">
        <v>0.95303896103896102</v>
      </c>
      <c r="T3" s="1">
        <v>1.4369175000000001</v>
      </c>
      <c r="U3" s="1">
        <v>2.1971215596330276</v>
      </c>
      <c r="V3" t="s">
        <v>71</v>
      </c>
    </row>
    <row r="4" spans="1:22" x14ac:dyDescent="0.25">
      <c r="A4" t="s">
        <v>39</v>
      </c>
      <c r="B4">
        <v>0.86567077160469452</v>
      </c>
      <c r="C4">
        <v>2.0751851973759103E-2</v>
      </c>
      <c r="D4">
        <v>0.87260615911531647</v>
      </c>
      <c r="E4">
        <v>2.6795978574988923E-2</v>
      </c>
      <c r="F4">
        <v>0.85261766261237426</v>
      </c>
      <c r="G4">
        <v>5.3973575985694459E-2</v>
      </c>
      <c r="H4">
        <v>0.87872388059701501</v>
      </c>
      <c r="I4">
        <v>4.376621224581137E-2</v>
      </c>
      <c r="J4">
        <v>0.69296253681795072</v>
      </c>
      <c r="K4">
        <v>7.0975288128197783E-2</v>
      </c>
      <c r="L4">
        <v>0.76090824132143153</v>
      </c>
      <c r="M4">
        <v>3.5594326206495538E-2</v>
      </c>
      <c r="N4">
        <v>0.68594851486121078</v>
      </c>
      <c r="O4">
        <v>4.7445764353309258E-2</v>
      </c>
      <c r="P4">
        <v>0.67602244286995927</v>
      </c>
      <c r="Q4">
        <v>5.3146076982319039E-2</v>
      </c>
      <c r="R4">
        <v>0.93170496604760422</v>
      </c>
      <c r="S4">
        <v>1.5883949981155106E-2</v>
      </c>
      <c r="T4" s="1">
        <v>4.5689179999999996E-2</v>
      </c>
      <c r="U4" s="1">
        <v>0.17426129683917219</v>
      </c>
      <c r="V4" t="s">
        <v>66</v>
      </c>
    </row>
    <row r="5" spans="1:22" x14ac:dyDescent="0.25">
      <c r="A5" t="s">
        <v>40</v>
      </c>
      <c r="B5">
        <v>0.87555844155844154</v>
      </c>
      <c r="D5">
        <v>0.87155963302752293</v>
      </c>
      <c r="F5">
        <v>0.88311688311688308</v>
      </c>
      <c r="H5">
        <v>0.86799999999999999</v>
      </c>
      <c r="J5">
        <v>0.67326732673267331</v>
      </c>
      <c r="L5">
        <v>0.76404494382022459</v>
      </c>
      <c r="N5">
        <v>0.68977584886430021</v>
      </c>
      <c r="P5">
        <v>0.67799868704867261</v>
      </c>
      <c r="R5">
        <v>0.94864935064935063</v>
      </c>
      <c r="T5" s="1">
        <v>0.61779530000000005</v>
      </c>
      <c r="U5" s="1">
        <v>0.94464113149847106</v>
      </c>
      <c r="V5" t="s">
        <v>67</v>
      </c>
    </row>
    <row r="6" spans="1:22" x14ac:dyDescent="0.25">
      <c r="A6" t="s">
        <v>41</v>
      </c>
      <c r="B6">
        <v>0.88950410954218861</v>
      </c>
      <c r="C6">
        <v>3.0299178251852625E-2</v>
      </c>
      <c r="D6">
        <v>0.89511218181290464</v>
      </c>
      <c r="E6">
        <v>2.6217584846760348E-2</v>
      </c>
      <c r="F6">
        <v>0.87879428873611842</v>
      </c>
      <c r="G6">
        <v>6.7530865013977509E-2</v>
      </c>
      <c r="H6">
        <v>0.90021393034825881</v>
      </c>
      <c r="I6">
        <v>3.8340056461678484E-2</v>
      </c>
      <c r="J6">
        <v>0.73806757081988406</v>
      </c>
      <c r="K6">
        <v>6.9674583901218307E-2</v>
      </c>
      <c r="L6">
        <v>0.79884055351906957</v>
      </c>
      <c r="M6">
        <v>4.355630472171549E-2</v>
      </c>
      <c r="N6">
        <v>0.73725184344193573</v>
      </c>
      <c r="O6">
        <v>5.7235813424438155E-2</v>
      </c>
      <c r="P6">
        <v>0.72910525799975201</v>
      </c>
      <c r="Q6">
        <v>6.0570235720017386E-2</v>
      </c>
      <c r="R6">
        <v>0.94909734708267224</v>
      </c>
      <c r="S6">
        <v>1.7318086353066291E-2</v>
      </c>
      <c r="T6" s="1">
        <v>8.041688000000001E-2</v>
      </c>
      <c r="U6" s="1">
        <v>0.30666334876498419</v>
      </c>
      <c r="V6" t="s">
        <v>68</v>
      </c>
    </row>
    <row r="7" spans="1:22" x14ac:dyDescent="0.25">
      <c r="A7" t="s">
        <v>42</v>
      </c>
      <c r="B7">
        <v>0.89980519480519483</v>
      </c>
      <c r="D7">
        <v>0.90519877675840976</v>
      </c>
      <c r="F7">
        <v>0.88961038961038963</v>
      </c>
      <c r="H7">
        <v>0.91</v>
      </c>
      <c r="J7">
        <v>0.75274725274725274</v>
      </c>
      <c r="L7">
        <v>0.81547619047619047</v>
      </c>
      <c r="N7">
        <v>0.75703698542603537</v>
      </c>
      <c r="P7">
        <v>0.75228483456331507</v>
      </c>
      <c r="R7">
        <v>0.96199999999999986</v>
      </c>
      <c r="T7" s="1">
        <v>1.039782</v>
      </c>
      <c r="U7" s="1">
        <v>1.5898807339449541</v>
      </c>
      <c r="V7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B27C8-E46E-4A09-A1FF-2908D2A84888}">
  <dimension ref="A1:S21"/>
  <sheetViews>
    <sheetView topLeftCell="A6" workbookViewId="0">
      <selection activeCell="D16" sqref="D16:K21"/>
    </sheetView>
  </sheetViews>
  <sheetFormatPr defaultRowHeight="15" x14ac:dyDescent="0.25"/>
  <cols>
    <col min="1" max="1" width="56.7109375" bestFit="1" customWidth="1"/>
    <col min="2" max="19" width="17.7109375" customWidth="1"/>
  </cols>
  <sheetData>
    <row r="1" spans="1:19" x14ac:dyDescent="0.2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</row>
    <row r="2" spans="1:19" x14ac:dyDescent="0.25">
      <c r="A2" t="s">
        <v>27</v>
      </c>
      <c r="B2">
        <v>0.87232582592063479</v>
      </c>
      <c r="C2">
        <v>2.7440949072095419E-2</v>
      </c>
      <c r="D2">
        <v>0.88256900705308683</v>
      </c>
      <c r="E2">
        <v>3.2412936762404407E-2</v>
      </c>
      <c r="F2">
        <v>0.85285563194077196</v>
      </c>
      <c r="G2">
        <v>8.1279252055682635E-2</v>
      </c>
      <c r="H2">
        <v>0.89179601990049751</v>
      </c>
      <c r="I2">
        <v>5.7431536094690171E-2</v>
      </c>
      <c r="J2">
        <v>0.72572455656709067</v>
      </c>
      <c r="K2">
        <v>9.834713574738585E-2</v>
      </c>
      <c r="L2">
        <v>0.77645590379908203</v>
      </c>
      <c r="M2">
        <v>4.3309610657853895E-2</v>
      </c>
      <c r="N2">
        <v>0.70963524557400803</v>
      </c>
      <c r="O2">
        <v>5.8513199164657102E-2</v>
      </c>
      <c r="P2">
        <v>0.69868765166833113</v>
      </c>
      <c r="Q2">
        <v>6.4740344217775081E-2</v>
      </c>
      <c r="R2">
        <v>0.94148495557642775</v>
      </c>
      <c r="S2">
        <v>1.8711241510354075E-2</v>
      </c>
    </row>
    <row r="3" spans="1:19" x14ac:dyDescent="0.25">
      <c r="A3" t="s">
        <v>28</v>
      </c>
      <c r="B3">
        <v>0.88155844155844154</v>
      </c>
      <c r="D3">
        <v>0.88073394495412849</v>
      </c>
      <c r="F3">
        <v>0.88311688311688308</v>
      </c>
      <c r="H3">
        <v>0.88</v>
      </c>
      <c r="J3">
        <v>0.69387755102040816</v>
      </c>
      <c r="L3">
        <v>0.77714285714285702</v>
      </c>
      <c r="N3">
        <v>0.70676600142942336</v>
      </c>
      <c r="P3">
        <v>0.69731564331996276</v>
      </c>
      <c r="R3">
        <v>0.95303896103896102</v>
      </c>
    </row>
    <row r="4" spans="1:19" x14ac:dyDescent="0.25">
      <c r="A4" t="s">
        <v>23</v>
      </c>
      <c r="B4">
        <v>0.86567077160469452</v>
      </c>
      <c r="C4">
        <v>2.0751851973759103E-2</v>
      </c>
      <c r="D4">
        <v>0.87260615911531647</v>
      </c>
      <c r="E4">
        <v>2.6795978574988923E-2</v>
      </c>
      <c r="F4">
        <v>0.85261766261237426</v>
      </c>
      <c r="G4">
        <v>5.3973575985694459E-2</v>
      </c>
      <c r="H4">
        <v>0.87872388059701501</v>
      </c>
      <c r="I4">
        <v>4.376621224581137E-2</v>
      </c>
      <c r="J4">
        <v>0.69296253681795072</v>
      </c>
      <c r="K4">
        <v>7.0975288128197783E-2</v>
      </c>
      <c r="L4">
        <v>0.76090824132143153</v>
      </c>
      <c r="M4">
        <v>3.5594326206495538E-2</v>
      </c>
      <c r="N4">
        <v>0.68594851486121078</v>
      </c>
      <c r="O4">
        <v>4.7445764353309258E-2</v>
      </c>
      <c r="P4">
        <v>0.67602244286995927</v>
      </c>
      <c r="Q4">
        <v>5.3146076982319039E-2</v>
      </c>
      <c r="R4">
        <v>0.93170496604760422</v>
      </c>
      <c r="S4">
        <v>1.5883949981155106E-2</v>
      </c>
    </row>
    <row r="5" spans="1:19" x14ac:dyDescent="0.25">
      <c r="A5" t="s">
        <v>24</v>
      </c>
      <c r="B5">
        <v>0.87555844155844154</v>
      </c>
      <c r="D5">
        <v>0.87155963302752293</v>
      </c>
      <c r="F5">
        <v>0.88311688311688308</v>
      </c>
      <c r="H5">
        <v>0.86799999999999999</v>
      </c>
      <c r="J5">
        <v>0.67326732673267331</v>
      </c>
      <c r="L5">
        <v>0.76404494382022459</v>
      </c>
      <c r="N5">
        <v>0.68977584886430021</v>
      </c>
      <c r="P5">
        <v>0.67799868704867261</v>
      </c>
      <c r="R5">
        <v>0.94864935064935063</v>
      </c>
    </row>
    <row r="6" spans="1:19" x14ac:dyDescent="0.25">
      <c r="A6" t="s">
        <v>25</v>
      </c>
      <c r="B6">
        <v>0.88950410954218861</v>
      </c>
      <c r="C6">
        <v>3.0299178251852625E-2</v>
      </c>
      <c r="D6">
        <v>0.89511218181290464</v>
      </c>
      <c r="E6">
        <v>2.6217584846760348E-2</v>
      </c>
      <c r="F6">
        <v>0.87879428873611842</v>
      </c>
      <c r="G6">
        <v>6.7530865013977509E-2</v>
      </c>
      <c r="H6">
        <v>0.90021393034825881</v>
      </c>
      <c r="I6">
        <v>3.8340056461678484E-2</v>
      </c>
      <c r="J6">
        <v>0.73806757081988406</v>
      </c>
      <c r="K6">
        <v>6.9674583901218307E-2</v>
      </c>
      <c r="L6">
        <v>0.79884055351906957</v>
      </c>
      <c r="M6">
        <v>4.355630472171549E-2</v>
      </c>
      <c r="N6">
        <v>0.73725184344193573</v>
      </c>
      <c r="O6">
        <v>5.7235813424438155E-2</v>
      </c>
      <c r="P6">
        <v>0.72910525799975201</v>
      </c>
      <c r="Q6">
        <v>6.0570235720017386E-2</v>
      </c>
      <c r="R6">
        <v>0.94909734708267224</v>
      </c>
      <c r="S6">
        <v>1.7318086353066291E-2</v>
      </c>
    </row>
    <row r="7" spans="1:19" x14ac:dyDescent="0.25">
      <c r="A7" t="s">
        <v>26</v>
      </c>
      <c r="B7">
        <v>0.89980519480519483</v>
      </c>
      <c r="D7">
        <v>0.90519877675840976</v>
      </c>
      <c r="F7">
        <v>0.88961038961038963</v>
      </c>
      <c r="H7">
        <v>0.91</v>
      </c>
      <c r="J7">
        <v>0.75274725274725274</v>
      </c>
      <c r="L7">
        <v>0.81547619047619047</v>
      </c>
      <c r="N7">
        <v>0.75703698542603537</v>
      </c>
      <c r="P7">
        <v>0.75228483456331507</v>
      </c>
      <c r="R7">
        <v>0.96199999999999986</v>
      </c>
    </row>
    <row r="9" spans="1:19" x14ac:dyDescent="0.25">
      <c r="B9" t="str">
        <f>TEXT(B2,"0.0000") &amp; " ± " &amp; TEXT(C2,"0.0000")</f>
        <v>0.8723 ± 0.0274</v>
      </c>
      <c r="C9" t="str">
        <f t="shared" ref="C9:S14" si="0">TEXT(C2,"0.0000") &amp; " ± " &amp; TEXT(D2,"0.0000")</f>
        <v>0.0274 ± 0.8826</v>
      </c>
      <c r="D9" t="str">
        <f t="shared" si="0"/>
        <v>0.8826 ± 0.0324</v>
      </c>
      <c r="E9" t="str">
        <f t="shared" si="0"/>
        <v>0.0324 ± 0.8529</v>
      </c>
      <c r="F9" t="str">
        <f t="shared" si="0"/>
        <v>0.8529 ± 0.0813</v>
      </c>
      <c r="G9" t="str">
        <f t="shared" si="0"/>
        <v>0.0813 ± 0.8918</v>
      </c>
      <c r="H9" t="str">
        <f t="shared" si="0"/>
        <v>0.8918 ± 0.0574</v>
      </c>
      <c r="I9" t="str">
        <f t="shared" si="0"/>
        <v>0.0574 ± 0.7257</v>
      </c>
      <c r="J9" t="str">
        <f t="shared" si="0"/>
        <v>0.7257 ± 0.0983</v>
      </c>
      <c r="K9" t="str">
        <f t="shared" si="0"/>
        <v>0.0983 ± 0.7765</v>
      </c>
      <c r="L9" t="str">
        <f t="shared" si="0"/>
        <v>0.7765 ± 0.0433</v>
      </c>
      <c r="M9" t="str">
        <f t="shared" si="0"/>
        <v>0.0433 ± 0.7096</v>
      </c>
      <c r="N9" t="str">
        <f t="shared" si="0"/>
        <v>0.7096 ± 0.0585</v>
      </c>
      <c r="O9" t="str">
        <f t="shared" si="0"/>
        <v>0.0585 ± 0.6987</v>
      </c>
      <c r="P9" t="str">
        <f t="shared" si="0"/>
        <v>0.6987 ± 0.0647</v>
      </c>
      <c r="Q9" t="str">
        <f t="shared" si="0"/>
        <v>0.0647 ± 0.9415</v>
      </c>
      <c r="R9" t="str">
        <f t="shared" si="0"/>
        <v>0.9415 ± 0.0187</v>
      </c>
      <c r="S9" t="str">
        <f t="shared" si="0"/>
        <v>0.0187 ± 0.0000</v>
      </c>
    </row>
    <row r="10" spans="1:19" x14ac:dyDescent="0.25">
      <c r="B10" t="str">
        <f t="shared" ref="B10:Q14" si="1">TEXT(B3,"0.0000") &amp; " ± " &amp; TEXT(C3,"0.0000")</f>
        <v>0.8816 ± 0.0000</v>
      </c>
      <c r="C10" t="str">
        <f t="shared" si="1"/>
        <v>0.0000 ± 0.8807</v>
      </c>
      <c r="D10" t="str">
        <f t="shared" si="1"/>
        <v>0.8807 ± 0.0000</v>
      </c>
      <c r="E10" t="str">
        <f t="shared" si="1"/>
        <v>0.0000 ± 0.8831</v>
      </c>
      <c r="F10" t="str">
        <f t="shared" si="1"/>
        <v>0.8831 ± 0.0000</v>
      </c>
      <c r="G10" t="str">
        <f t="shared" si="1"/>
        <v>0.0000 ± 0.8800</v>
      </c>
      <c r="H10" t="str">
        <f t="shared" si="1"/>
        <v>0.8800 ± 0.0000</v>
      </c>
      <c r="I10" t="str">
        <f t="shared" si="1"/>
        <v>0.0000 ± 0.6939</v>
      </c>
      <c r="J10" t="str">
        <f t="shared" si="1"/>
        <v>0.6939 ± 0.0000</v>
      </c>
      <c r="K10" t="str">
        <f t="shared" si="1"/>
        <v>0.0000 ± 0.7771</v>
      </c>
      <c r="L10" t="str">
        <f t="shared" si="1"/>
        <v>0.7771 ± 0.0000</v>
      </c>
      <c r="M10" t="str">
        <f t="shared" si="1"/>
        <v>0.0000 ± 0.7068</v>
      </c>
      <c r="N10" t="str">
        <f t="shared" si="1"/>
        <v>0.7068 ± 0.0000</v>
      </c>
      <c r="O10" t="str">
        <f t="shared" si="1"/>
        <v>0.0000 ± 0.6973</v>
      </c>
      <c r="P10" t="str">
        <f t="shared" si="1"/>
        <v>0.6973 ± 0.0000</v>
      </c>
      <c r="Q10" t="str">
        <f t="shared" si="1"/>
        <v>0.0000 ± 0.9530</v>
      </c>
      <c r="R10" t="str">
        <f t="shared" si="0"/>
        <v>0.9530 ± 0.0000</v>
      </c>
      <c r="S10" t="str">
        <f t="shared" si="0"/>
        <v>0.0000 ± 0.0000</v>
      </c>
    </row>
    <row r="11" spans="1:19" x14ac:dyDescent="0.25">
      <c r="B11" t="str">
        <f t="shared" si="1"/>
        <v>0.8657 ± 0.0208</v>
      </c>
      <c r="C11" t="str">
        <f t="shared" si="0"/>
        <v>0.0208 ± 0.8726</v>
      </c>
      <c r="D11" t="str">
        <f t="shared" si="0"/>
        <v>0.8726 ± 0.0268</v>
      </c>
      <c r="E11" t="str">
        <f t="shared" si="0"/>
        <v>0.0268 ± 0.8526</v>
      </c>
      <c r="F11" t="str">
        <f t="shared" si="0"/>
        <v>0.8526 ± 0.0540</v>
      </c>
      <c r="G11" t="str">
        <f t="shared" si="0"/>
        <v>0.0540 ± 0.8787</v>
      </c>
      <c r="H11" t="str">
        <f t="shared" si="0"/>
        <v>0.8787 ± 0.0438</v>
      </c>
      <c r="I11" t="str">
        <f t="shared" si="0"/>
        <v>0.0438 ± 0.6930</v>
      </c>
      <c r="J11" t="str">
        <f t="shared" si="0"/>
        <v>0.6930 ± 0.0710</v>
      </c>
      <c r="K11" t="str">
        <f t="shared" si="0"/>
        <v>0.0710 ± 0.7609</v>
      </c>
      <c r="L11" t="str">
        <f t="shared" si="0"/>
        <v>0.7609 ± 0.0356</v>
      </c>
      <c r="M11" t="str">
        <f t="shared" si="0"/>
        <v>0.0356 ± 0.6859</v>
      </c>
      <c r="N11" t="str">
        <f t="shared" si="0"/>
        <v>0.6859 ± 0.0474</v>
      </c>
      <c r="O11" t="str">
        <f t="shared" si="0"/>
        <v>0.0474 ± 0.6760</v>
      </c>
      <c r="P11" t="str">
        <f t="shared" si="0"/>
        <v>0.6760 ± 0.0531</v>
      </c>
      <c r="Q11" t="str">
        <f t="shared" si="0"/>
        <v>0.0531 ± 0.9317</v>
      </c>
      <c r="R11" t="str">
        <f t="shared" si="0"/>
        <v>0.9317 ± 0.0159</v>
      </c>
      <c r="S11" t="str">
        <f t="shared" si="0"/>
        <v>0.0159 ± 0.0000</v>
      </c>
    </row>
    <row r="12" spans="1:19" x14ac:dyDescent="0.25">
      <c r="B12" t="str">
        <f t="shared" si="1"/>
        <v>0.8756 ± 0.0000</v>
      </c>
      <c r="C12" t="str">
        <f t="shared" si="0"/>
        <v>0.0000 ± 0.8716</v>
      </c>
      <c r="D12" t="str">
        <f t="shared" si="0"/>
        <v>0.8716 ± 0.0000</v>
      </c>
      <c r="E12" t="str">
        <f t="shared" si="0"/>
        <v>0.0000 ± 0.8831</v>
      </c>
      <c r="F12" t="str">
        <f t="shared" si="0"/>
        <v>0.8831 ± 0.0000</v>
      </c>
      <c r="G12" t="str">
        <f t="shared" si="0"/>
        <v>0.0000 ± 0.8680</v>
      </c>
      <c r="H12" t="str">
        <f t="shared" si="0"/>
        <v>0.8680 ± 0.0000</v>
      </c>
      <c r="I12" t="str">
        <f t="shared" si="0"/>
        <v>0.0000 ± 0.6733</v>
      </c>
      <c r="J12" t="str">
        <f t="shared" si="0"/>
        <v>0.6733 ± 0.0000</v>
      </c>
      <c r="K12" t="str">
        <f t="shared" si="0"/>
        <v>0.0000 ± 0.7640</v>
      </c>
      <c r="L12" t="str">
        <f t="shared" si="0"/>
        <v>0.7640 ± 0.0000</v>
      </c>
      <c r="M12" t="str">
        <f t="shared" si="0"/>
        <v>0.0000 ± 0.6898</v>
      </c>
      <c r="N12" t="str">
        <f t="shared" si="0"/>
        <v>0.6898 ± 0.0000</v>
      </c>
      <c r="O12" t="str">
        <f t="shared" si="0"/>
        <v>0.0000 ± 0.6780</v>
      </c>
      <c r="P12" t="str">
        <f t="shared" si="0"/>
        <v>0.6780 ± 0.0000</v>
      </c>
      <c r="Q12" t="str">
        <f t="shared" si="0"/>
        <v>0.0000 ± 0.9486</v>
      </c>
      <c r="R12" t="str">
        <f t="shared" si="0"/>
        <v>0.9486 ± 0.0000</v>
      </c>
      <c r="S12" t="str">
        <f t="shared" si="0"/>
        <v>0.0000 ± 0.0000</v>
      </c>
    </row>
    <row r="13" spans="1:19" x14ac:dyDescent="0.25">
      <c r="B13" t="str">
        <f t="shared" si="1"/>
        <v>0.8895 ± 0.0303</v>
      </c>
      <c r="C13" t="str">
        <f t="shared" si="0"/>
        <v>0.0303 ± 0.8951</v>
      </c>
      <c r="D13" t="str">
        <f t="shared" si="0"/>
        <v>0.8951 ± 0.0262</v>
      </c>
      <c r="E13" t="str">
        <f t="shared" si="0"/>
        <v>0.0262 ± 0.8788</v>
      </c>
      <c r="F13" t="str">
        <f t="shared" si="0"/>
        <v>0.8788 ± 0.0675</v>
      </c>
      <c r="G13" t="str">
        <f t="shared" si="0"/>
        <v>0.0675 ± 0.9002</v>
      </c>
      <c r="H13" t="str">
        <f t="shared" si="0"/>
        <v>0.9002 ± 0.0383</v>
      </c>
      <c r="I13" t="str">
        <f t="shared" si="0"/>
        <v>0.0383 ± 0.7381</v>
      </c>
      <c r="J13" t="str">
        <f t="shared" si="0"/>
        <v>0.7381 ± 0.0697</v>
      </c>
      <c r="K13" t="str">
        <f t="shared" si="0"/>
        <v>0.0697 ± 0.7988</v>
      </c>
      <c r="L13" t="str">
        <f t="shared" si="0"/>
        <v>0.7988 ± 0.0436</v>
      </c>
      <c r="M13" t="str">
        <f t="shared" si="0"/>
        <v>0.0436 ± 0.7373</v>
      </c>
      <c r="N13" t="str">
        <f t="shared" si="0"/>
        <v>0.7373 ± 0.0572</v>
      </c>
      <c r="O13" t="str">
        <f t="shared" si="0"/>
        <v>0.0572 ± 0.7291</v>
      </c>
      <c r="P13" t="str">
        <f t="shared" si="0"/>
        <v>0.7291 ± 0.0606</v>
      </c>
      <c r="Q13" t="str">
        <f t="shared" si="0"/>
        <v>0.0606 ± 0.9491</v>
      </c>
      <c r="R13" t="str">
        <f t="shared" si="0"/>
        <v>0.9491 ± 0.0173</v>
      </c>
      <c r="S13" t="str">
        <f t="shared" si="0"/>
        <v>0.0173 ± 0.0000</v>
      </c>
    </row>
    <row r="14" spans="1:19" x14ac:dyDescent="0.25">
      <c r="B14" t="str">
        <f t="shared" si="1"/>
        <v>0.8998 ± 0.0000</v>
      </c>
      <c r="C14" t="str">
        <f t="shared" si="0"/>
        <v>0.0000 ± 0.9052</v>
      </c>
      <c r="D14" t="str">
        <f t="shared" si="0"/>
        <v>0.9052 ± 0.0000</v>
      </c>
      <c r="E14" t="str">
        <f t="shared" si="0"/>
        <v>0.0000 ± 0.8896</v>
      </c>
      <c r="F14" t="str">
        <f t="shared" si="0"/>
        <v>0.8896 ± 0.0000</v>
      </c>
      <c r="G14" t="str">
        <f t="shared" si="0"/>
        <v>0.0000 ± 0.9100</v>
      </c>
      <c r="H14" t="str">
        <f t="shared" si="0"/>
        <v>0.9100 ± 0.0000</v>
      </c>
      <c r="I14" t="str">
        <f t="shared" si="0"/>
        <v>0.0000 ± 0.7527</v>
      </c>
      <c r="J14" t="str">
        <f t="shared" si="0"/>
        <v>0.7527 ± 0.0000</v>
      </c>
      <c r="K14" t="str">
        <f t="shared" si="0"/>
        <v>0.0000 ± 0.8155</v>
      </c>
      <c r="L14" t="str">
        <f t="shared" si="0"/>
        <v>0.8155 ± 0.0000</v>
      </c>
      <c r="M14" t="str">
        <f t="shared" si="0"/>
        <v>0.0000 ± 0.7570</v>
      </c>
      <c r="N14" t="str">
        <f t="shared" si="0"/>
        <v>0.7570 ± 0.0000</v>
      </c>
      <c r="O14" t="str">
        <f t="shared" si="0"/>
        <v>0.0000 ± 0.7523</v>
      </c>
      <c r="P14" t="str">
        <f t="shared" si="0"/>
        <v>0.7523 ± 0.0000</v>
      </c>
      <c r="Q14" t="str">
        <f t="shared" si="0"/>
        <v>0.0000 ± 0.9620</v>
      </c>
      <c r="R14" t="str">
        <f t="shared" si="0"/>
        <v>0.9620 ± 0.0000</v>
      </c>
      <c r="S14" t="str">
        <f t="shared" si="0"/>
        <v>0.0000 ± 0.0000</v>
      </c>
    </row>
    <row r="16" spans="1:19" x14ac:dyDescent="0.25">
      <c r="D16" t="s">
        <v>72</v>
      </c>
      <c r="E16" t="s">
        <v>78</v>
      </c>
      <c r="F16" t="s">
        <v>83</v>
      </c>
      <c r="G16" t="s">
        <v>89</v>
      </c>
      <c r="H16" t="s">
        <v>95</v>
      </c>
      <c r="I16" t="s">
        <v>101</v>
      </c>
      <c r="J16" t="s">
        <v>107</v>
      </c>
      <c r="K16" t="s">
        <v>113</v>
      </c>
    </row>
    <row r="17" spans="4:11" x14ac:dyDescent="0.25">
      <c r="D17" t="s">
        <v>73</v>
      </c>
      <c r="E17" t="s">
        <v>79</v>
      </c>
      <c r="F17" t="s">
        <v>84</v>
      </c>
      <c r="G17" t="s">
        <v>90</v>
      </c>
      <c r="H17" t="s">
        <v>96</v>
      </c>
      <c r="I17" t="s">
        <v>102</v>
      </c>
      <c r="J17" t="s">
        <v>108</v>
      </c>
      <c r="K17" t="s">
        <v>114</v>
      </c>
    </row>
    <row r="18" spans="4:11" x14ac:dyDescent="0.25">
      <c r="D18" t="s">
        <v>74</v>
      </c>
      <c r="E18" t="s">
        <v>80</v>
      </c>
      <c r="F18" t="s">
        <v>85</v>
      </c>
      <c r="G18" t="s">
        <v>91</v>
      </c>
      <c r="H18" t="s">
        <v>97</v>
      </c>
      <c r="I18" t="s">
        <v>103</v>
      </c>
      <c r="J18" t="s">
        <v>109</v>
      </c>
      <c r="K18" t="s">
        <v>115</v>
      </c>
    </row>
    <row r="19" spans="4:11" x14ac:dyDescent="0.25">
      <c r="D19" t="s">
        <v>75</v>
      </c>
      <c r="E19" t="s">
        <v>79</v>
      </c>
      <c r="F19" t="s">
        <v>86</v>
      </c>
      <c r="G19" t="s">
        <v>92</v>
      </c>
      <c r="H19" t="s">
        <v>98</v>
      </c>
      <c r="I19" t="s">
        <v>104</v>
      </c>
      <c r="J19" t="s">
        <v>110</v>
      </c>
      <c r="K19" t="s">
        <v>116</v>
      </c>
    </row>
    <row r="20" spans="4:11" x14ac:dyDescent="0.25">
      <c r="D20" t="s">
        <v>76</v>
      </c>
      <c r="E20" t="s">
        <v>81</v>
      </c>
      <c r="F20" t="s">
        <v>87</v>
      </c>
      <c r="G20" t="s">
        <v>93</v>
      </c>
      <c r="H20" t="s">
        <v>99</v>
      </c>
      <c r="I20" t="s">
        <v>105</v>
      </c>
      <c r="J20" t="s">
        <v>111</v>
      </c>
      <c r="K20" t="s">
        <v>117</v>
      </c>
    </row>
    <row r="21" spans="4:11" x14ac:dyDescent="0.25">
      <c r="D21" t="s">
        <v>77</v>
      </c>
      <c r="E21" t="s">
        <v>82</v>
      </c>
      <c r="F21" t="s">
        <v>88</v>
      </c>
      <c r="G21" t="s">
        <v>94</v>
      </c>
      <c r="H21" t="s">
        <v>100</v>
      </c>
      <c r="I21" t="s">
        <v>106</v>
      </c>
      <c r="J21" t="s">
        <v>112</v>
      </c>
      <c r="K2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CV_MeanSD</vt:lpstr>
      <vt:lpstr>CV_test_Mean</vt:lpstr>
      <vt:lpstr>pub_SVMresults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KASHAN SIDDIQUI</cp:lastModifiedBy>
  <dcterms:modified xsi:type="dcterms:W3CDTF">2026-10-17T07:21:26Z</dcterms:modified>
</cp:coreProperties>
</file>