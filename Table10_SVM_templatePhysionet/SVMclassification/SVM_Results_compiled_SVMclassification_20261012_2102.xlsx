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10_SVM_templatePhysionet\SVMclassification\"/>
    </mc:Choice>
  </mc:AlternateContent>
  <xr:revisionPtr revIDLastSave="0" documentId="13_ncr:1_{97961581-1282-413E-ADC7-FDC61636BEE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V_MeanSD" sheetId="2" r:id="rId1"/>
    <sheet name="CV_test_Mean" sheetId="3" r:id="rId2"/>
    <sheet name="pub_SVMresults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B10" i="5"/>
  <c r="B11" i="5"/>
  <c r="B12" i="5"/>
  <c r="B13" i="5"/>
  <c r="B14" i="5"/>
  <c r="B9" i="5"/>
</calcChain>
</file>

<file path=xl/sharedStrings.xml><?xml version="1.0" encoding="utf-8"?>
<sst xmlns="http://schemas.openxmlformats.org/spreadsheetml/2006/main" count="145" uniqueCount="120">
  <si>
    <t>filename</t>
  </si>
  <si>
    <t>SVM_Results_combinedTemplatePhysionet_20261012_210214</t>
  </si>
  <si>
    <t>SVM_Results_gemapsTemplatePhysionet_20261012_210106</t>
  </si>
  <si>
    <t>SVM_Results_shenTeamplatePhysionet_20261012_210023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</si>
  <si>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</si>
  <si>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</si>
  <si>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</si>
  <si>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</si>
  <si>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</si>
  <si>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</si>
  <si>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</si>
  <si>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</si>
  <si>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</si>
  <si>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</si>
  <si>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</si>
  <si>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</si>
  <si>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</si>
  <si>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</si>
  <si>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</si>
  <si>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</si>
  <si>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</si>
  <si>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</si>
  <si>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filename</t>
  </si>
  <si>
    <t>SVM_Results_combinedTemplatePhysionet_20261012_210214_CV</t>
  </si>
  <si>
    <t>SVM_Results_combinedTemplatePhysionet_20261012_210214_Test</t>
  </si>
  <si>
    <t>SVM_Results_gemapsTemplatePhysionet_20261012_210106_CV</t>
  </si>
  <si>
    <t>SVM_Results_gemapsTemplatePhysionet_20261012_210106_Test</t>
  </si>
  <si>
    <t>SVM_Results_shenTeamplatePhysionet_20261012_210023_CV</t>
  </si>
  <si>
    <t>SVM_Results_shenTeamplatePhysionet_20261012_210023_Test</t>
  </si>
  <si>
    <t>mean_balancedAcc</t>
  </si>
  <si>
    <t>mean_accuracy</t>
  </si>
  <si>
    <t>mean_sensitivity</t>
  </si>
  <si>
    <t>mean_specificity</t>
  </si>
  <si>
    <t>mean_precision</t>
  </si>
  <si>
    <t>mean_f1</t>
  </si>
  <si>
    <t>mean_mcc</t>
  </si>
  <si>
    <t>mean_kappa</t>
  </si>
  <si>
    <t>mean_auc</t>
  </si>
  <si>
    <t>filename</t>
  </si>
  <si>
    <t>SVM_Results_combinedTemplatePhysionet_20261012_210214_CV</t>
  </si>
  <si>
    <t>SVM_Results_combinedTemplatePhysionet_20261012_210214_Test</t>
  </si>
  <si>
    <t>SVM_Results_gemapsTemplatePhysionet_20261012_210106_CV</t>
  </si>
  <si>
    <t>SVM_Results_gemapsTemplatePhysionet_20261012_210106_Test</t>
  </si>
  <si>
    <t>SVM_Results_shenTeamplatePhysionet_20261012_210023_CV</t>
  </si>
  <si>
    <t>SVM_Results_shenTeamplatePhysionet_20261012_210023_Test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</si>
  <si>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</si>
  <si>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</si>
  <si>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</si>
  <si>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</si>
  <si>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</si>
  <si>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</si>
  <si>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</si>
  <si>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</si>
  <si>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</si>
  <si>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</si>
  <si>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</si>
  <si>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</si>
  <si>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</si>
  <si>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</si>
  <si>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</si>
  <si>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</si>
  <si>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</si>
  <si>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</si>
  <si>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totalInferenceTime_s</t>
  </si>
  <si>
    <t>avgInferenceTime_ms</t>
  </si>
  <si>
    <t>confMat</t>
  </si>
  <si>
    <t>TN=1511, FP=333, FN=38, TP=420</t>
  </si>
  <si>
    <t>TN=407, FP=53, FN=25, TP=89</t>
  </si>
  <si>
    <t>TN=1446, FP=398, FN=45, TP=413</t>
  </si>
  <si>
    <t>TN=380, FP=80, FN=11, TP=103</t>
  </si>
  <si>
    <t>TN=1452, FP=392, FN=44, TP=414</t>
  </si>
  <si>
    <t>TN=383, FP=77, FN=17, TP=97</t>
  </si>
  <si>
    <t>0.8457 ± 0.0126</t>
  </si>
  <si>
    <t>0.8417 ± 0.0000</t>
  </si>
  <si>
    <t>0.8429 ± 0.0267</t>
  </si>
  <si>
    <t>0.8648 ± 0.0000</t>
  </si>
  <si>
    <t>0.8683 ± 0.0206</t>
  </si>
  <si>
    <t>0.8327 ± 0.0000</t>
  </si>
  <si>
    <t>0.9040 ± 0.0484</t>
  </si>
  <si>
    <t>0.8509 ± 0.0000</t>
  </si>
  <si>
    <t>0.9018 ± 0.0535</t>
  </si>
  <si>
    <t>0.9035 ± 0.0000</t>
  </si>
  <si>
    <t>0.9171 ± 0.0419</t>
  </si>
  <si>
    <t>0.7807 ± 0.0000</t>
  </si>
  <si>
    <t>0.7875 ± 0.0558</t>
  </si>
  <si>
    <t>0.8326 ± 0.0000</t>
  </si>
  <si>
    <t>0.7841 ± 0.0590</t>
  </si>
  <si>
    <t>0.8261 ± 0.0000</t>
  </si>
  <si>
    <t>0.8194 ± 0.0341</t>
  </si>
  <si>
    <t>0.8848 ± 0.0000</t>
  </si>
  <si>
    <t>0.5210 ± 0.0552</t>
  </si>
  <si>
    <t>0.5575 ± 0.0000</t>
  </si>
  <si>
    <t>0.5170 ± 0.0600</t>
  </si>
  <si>
    <t>0.5628 ± 0.0000</t>
  </si>
  <si>
    <t>0.5614 ± 0.0471</t>
  </si>
  <si>
    <t>0.6268 ± 0.0000</t>
  </si>
  <si>
    <t>0.6578 ± 0.0343</t>
  </si>
  <si>
    <t>0.6736 ± 0.0000</t>
  </si>
  <si>
    <t>0.6541 ± 0.0450</t>
  </si>
  <si>
    <t>0.6936 ± 0.0000</t>
  </si>
  <si>
    <t>0.6949 ± 0.0347</t>
  </si>
  <si>
    <t>0.6953 ± 0.0000</t>
  </si>
  <si>
    <t>0.5832 ± 0.0351</t>
  </si>
  <si>
    <t>0.5933 ± 0.0000</t>
  </si>
  <si>
    <t>0.5779 ± 0.0544</t>
  </si>
  <si>
    <t>0.6246 ± 0.0000</t>
  </si>
  <si>
    <t>0.6288 ± 0.0423</t>
  </si>
  <si>
    <t>0.6153 ± 0.0000</t>
  </si>
  <si>
    <t>0.5414 ± 0.0537</t>
  </si>
  <si>
    <t>0.5706 ± 0.0000</t>
  </si>
  <si>
    <t>0.5359 ± 0.0680</t>
  </si>
  <si>
    <t>0.5943 ± 0.0000</t>
  </si>
  <si>
    <t>0.5945 ± 0.0490</t>
  </si>
  <si>
    <t>0.6092 ± 0.0000</t>
  </si>
  <si>
    <t>0.9027 ± 0.0106</t>
  </si>
  <si>
    <t>0.9145 ± 0.0000</t>
  </si>
  <si>
    <t>0.9034 ± 0.0227</t>
  </si>
  <si>
    <t>0.9091 ± 0.0000</t>
  </si>
  <si>
    <t>0.9190 ± 0.0118</t>
  </si>
  <si>
    <t>0.9256 ± 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</si>
</sst>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workbookViewId="0"/>
  </sheetViews>
  <sheetFormatPr defaultRowHeight="15" x14ac:dyDescent="0.25"/>
  <cols>
    <col min="1" max="1" width="55.7109375" customWidth="1"/>
    <col min="2" max="2" width="18.140625" customWidth="1"/>
    <col min="3" max="3" width="15.85546875" customWidth="1"/>
    <col min="4" max="4" width="14.5703125" customWidth="1"/>
    <col min="5" max="5" width="12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19" width="13.710937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1</v>
      </c>
      <c r="B2">
        <v>0.86826870348609475</v>
      </c>
      <c r="C2">
        <v>2.0606253007863312E-2</v>
      </c>
      <c r="D2">
        <v>0.83883681535855459</v>
      </c>
      <c r="E2">
        <v>2.4954096201355642E-2</v>
      </c>
      <c r="F2">
        <v>0.91710144927536241</v>
      </c>
      <c r="G2">
        <v>4.1931204547158686E-2</v>
      </c>
      <c r="H2">
        <v>0.81943595769682742</v>
      </c>
      <c r="I2">
        <v>3.4089049256909511E-2</v>
      </c>
      <c r="J2">
        <v>0.56136953752753338</v>
      </c>
      <c r="K2">
        <v>4.7101251911912521E-2</v>
      </c>
      <c r="L2">
        <v>0.69486703714299991</v>
      </c>
      <c r="M2">
        <v>3.46518028554555E-2</v>
      </c>
      <c r="N2">
        <v>0.62875048266604971</v>
      </c>
      <c r="O2">
        <v>4.2270923378692156E-2</v>
      </c>
      <c r="P2">
        <v>0.59446074503244328</v>
      </c>
      <c r="Q2">
        <v>4.9005248138668404E-2</v>
      </c>
      <c r="R2">
        <v>0.91904482649000629</v>
      </c>
      <c r="S2">
        <v>1.180671554601277E-2</v>
      </c>
    </row>
    <row r="3" spans="1:19" x14ac:dyDescent="0.25">
      <c r="A3" t="s">
        <v>2</v>
      </c>
      <c r="B3">
        <v>0.84294424859642247</v>
      </c>
      <c r="C3">
        <v>2.6730441227893521E-2</v>
      </c>
      <c r="D3">
        <v>0.80753999623564832</v>
      </c>
      <c r="E3">
        <v>4.2188378997362982E-2</v>
      </c>
      <c r="F3">
        <v>0.90178743961352659</v>
      </c>
      <c r="G3">
        <v>5.3458786731891611E-2</v>
      </c>
      <c r="H3">
        <v>0.78410105757931858</v>
      </c>
      <c r="I3">
        <v>5.9007780152252512E-2</v>
      </c>
      <c r="J3">
        <v>0.51696112576572595</v>
      </c>
      <c r="K3">
        <v>6.0020306994633794E-2</v>
      </c>
      <c r="L3">
        <v>0.65410793800999711</v>
      </c>
      <c r="M3">
        <v>4.5011641483098136E-2</v>
      </c>
      <c r="N3">
        <v>0.57790585352395363</v>
      </c>
      <c r="O3">
        <v>5.4386184003835714E-2</v>
      </c>
      <c r="P3">
        <v>0.53588002368324361</v>
      </c>
      <c r="Q3">
        <v>6.7980998886321295E-2</v>
      </c>
      <c r="R3">
        <v>0.90342394000806103</v>
      </c>
      <c r="S3">
        <v>2.2736922485175788E-2</v>
      </c>
    </row>
    <row r="4" spans="1:19" x14ac:dyDescent="0.25">
      <c r="A4" t="s">
        <v>3</v>
      </c>
      <c r="B4">
        <v>0.84573508290899591</v>
      </c>
      <c r="C4">
        <v>1.2609872957312054E-2</v>
      </c>
      <c r="D4">
        <v>0.81063617541878408</v>
      </c>
      <c r="E4">
        <v>3.6399372837098869E-2</v>
      </c>
      <c r="F4">
        <v>0.90396135265700472</v>
      </c>
      <c r="G4">
        <v>4.8409878942455173E-2</v>
      </c>
      <c r="H4">
        <v>0.78750881316098709</v>
      </c>
      <c r="I4">
        <v>5.5828339366707933E-2</v>
      </c>
      <c r="J4">
        <v>0.52100483806726416</v>
      </c>
      <c r="K4">
        <v>5.5166267800154226E-2</v>
      </c>
      <c r="L4">
        <v>0.65778730836729304</v>
      </c>
      <c r="M4">
        <v>3.4343685177633518E-2</v>
      </c>
      <c r="N4">
        <v>0.58319635691289995</v>
      </c>
      <c r="O4">
        <v>3.5148362833371971E-2</v>
      </c>
      <c r="P4">
        <v>0.54139474256135833</v>
      </c>
      <c r="Q4">
        <v>5.3661836580593432E-2</v>
      </c>
      <c r="R4">
        <v>0.90267338510533235</v>
      </c>
      <c r="S4">
        <v>1.0554823278057781E-2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 x14ac:dyDescent="0.25"/>
  <cols>
    <col min="1" max="1" width="60.42578125" customWidth="1"/>
    <col min="2" max="2" width="18.140625" customWidth="1"/>
    <col min="3" max="3" width="14.5703125" customWidth="1"/>
    <col min="4" max="4" width="16.28515625" customWidth="1"/>
    <col min="5" max="5" width="16.140625" customWidth="1"/>
    <col min="6" max="6" width="15.28515625" customWidth="1"/>
    <col min="7" max="10" width="12.7109375" customWidth="1"/>
  </cols>
  <sheetData>
    <row r="1" spans="1:10" x14ac:dyDescent="0.25">
      <c r="A1" t="s">
        <v>22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25">
      <c r="A2" t="s">
        <v>23</v>
      </c>
      <c r="B2">
        <v>0.86826870348609475</v>
      </c>
      <c r="C2">
        <v>0.83883681535855459</v>
      </c>
      <c r="D2">
        <v>0.91710144927536241</v>
      </c>
      <c r="E2">
        <v>0.81943595769682742</v>
      </c>
      <c r="F2">
        <v>0.56136953752753338</v>
      </c>
      <c r="G2">
        <v>0.69486703714299991</v>
      </c>
      <c r="H2">
        <v>0.62875048266604971</v>
      </c>
      <c r="I2">
        <v>0.59446074503244328</v>
      </c>
      <c r="J2">
        <v>0.91904482649000629</v>
      </c>
    </row>
    <row r="3" spans="1:10" x14ac:dyDescent="0.25">
      <c r="A3" t="s">
        <v>24</v>
      </c>
      <c r="B3">
        <v>0.83274218154080848</v>
      </c>
      <c r="C3">
        <v>0.86411149825783973</v>
      </c>
      <c r="D3">
        <v>0.7807017543859649</v>
      </c>
      <c r="E3">
        <v>0.88478260869565217</v>
      </c>
      <c r="F3">
        <v>0.62676056338028174</v>
      </c>
      <c r="G3">
        <v>0.6953125</v>
      </c>
      <c r="H3">
        <v>0.61529466742251149</v>
      </c>
      <c r="I3">
        <v>0.60921025068081802</v>
      </c>
      <c r="J3">
        <v>0.92560068649885585</v>
      </c>
    </row>
    <row r="4" spans="1:10" x14ac:dyDescent="0.25">
      <c r="A4" t="s">
        <v>25</v>
      </c>
      <c r="B4">
        <v>0.84294424859642247</v>
      </c>
      <c r="C4">
        <v>0.80753999623564832</v>
      </c>
      <c r="D4">
        <v>0.90178743961352659</v>
      </c>
      <c r="E4">
        <v>0.78410105757931858</v>
      </c>
      <c r="F4">
        <v>0.51696112576572595</v>
      </c>
      <c r="G4">
        <v>0.65410793800999711</v>
      </c>
      <c r="H4">
        <v>0.57790585352395363</v>
      </c>
      <c r="I4">
        <v>0.53588002368324361</v>
      </c>
      <c r="J4">
        <v>0.90342394000806103</v>
      </c>
    </row>
    <row r="5" spans="1:10" x14ac:dyDescent="0.25">
      <c r="A5" t="s">
        <v>26</v>
      </c>
      <c r="B5">
        <v>0.86479786422578186</v>
      </c>
      <c r="C5">
        <v>0.84146341463414631</v>
      </c>
      <c r="D5">
        <v>0.90350877192982459</v>
      </c>
      <c r="E5">
        <v>0.82608695652173914</v>
      </c>
      <c r="F5">
        <v>0.56284153005464477</v>
      </c>
      <c r="G5">
        <v>0.69360269360269344</v>
      </c>
      <c r="H5">
        <v>0.62459672196738647</v>
      </c>
      <c r="I5">
        <v>0.59431163303664314</v>
      </c>
      <c r="J5">
        <v>0.90909610983981637</v>
      </c>
    </row>
    <row r="6" spans="1:10" x14ac:dyDescent="0.25">
      <c r="A6" t="s">
        <v>27</v>
      </c>
      <c r="B6">
        <v>0.84573508290899591</v>
      </c>
      <c r="C6">
        <v>0.81063617541878408</v>
      </c>
      <c r="D6">
        <v>0.90396135265700472</v>
      </c>
      <c r="E6">
        <v>0.78750881316098709</v>
      </c>
      <c r="F6">
        <v>0.52100483806726416</v>
      </c>
      <c r="G6">
        <v>0.65778730836729304</v>
      </c>
      <c r="H6">
        <v>0.58319635691289995</v>
      </c>
      <c r="I6">
        <v>0.54139474256135833</v>
      </c>
      <c r="J6">
        <v>0.90267338510533235</v>
      </c>
    </row>
    <row r="7" spans="1:10" x14ac:dyDescent="0.25">
      <c r="A7" t="s">
        <v>28</v>
      </c>
      <c r="B7">
        <v>0.841742944317315</v>
      </c>
      <c r="C7">
        <v>0.83623693379790942</v>
      </c>
      <c r="D7">
        <v>0.85087719298245612</v>
      </c>
      <c r="E7">
        <v>0.83260869565217388</v>
      </c>
      <c r="F7">
        <v>0.55747126436781613</v>
      </c>
      <c r="G7">
        <v>0.67361111111111105</v>
      </c>
      <c r="H7">
        <v>0.59327530898204062</v>
      </c>
      <c r="I7">
        <v>0.57055078000636716</v>
      </c>
      <c r="J7">
        <v>0.91451182303585044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topLeftCell="H1" workbookViewId="0">
      <selection sqref="A1:S7"/>
    </sheetView>
  </sheetViews>
  <sheetFormatPr defaultRowHeight="15" x14ac:dyDescent="0.25"/>
  <cols>
    <col min="1" max="1" width="60.42578125" customWidth="1"/>
    <col min="2" max="2" width="18.140625" customWidth="1"/>
    <col min="3" max="3" width="15.85546875" customWidth="1"/>
    <col min="4" max="4" width="14.5703125" customWidth="1"/>
    <col min="5" max="5" width="13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19" width="13.7109375" customWidth="1"/>
    <col min="20" max="20" width="20.140625" customWidth="1"/>
    <col min="21" max="21" width="20.7109375" customWidth="1"/>
    <col min="22" max="22" width="29.28515625" customWidth="1"/>
  </cols>
  <sheetData>
    <row r="1" spans="1:22" x14ac:dyDescent="0.25">
      <c r="A1" t="s">
        <v>38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 x14ac:dyDescent="0.25">
      <c r="A2" t="s">
        <v>43</v>
      </c>
      <c r="B2">
        <v>0.84573508290899591</v>
      </c>
      <c r="C2">
        <v>1.2609872957312054E-2</v>
      </c>
      <c r="D2">
        <v>0.81063617541878408</v>
      </c>
      <c r="E2">
        <v>3.6399372837098869E-2</v>
      </c>
      <c r="F2">
        <v>0.90396135265700472</v>
      </c>
      <c r="G2">
        <v>4.8409878942455173E-2</v>
      </c>
      <c r="H2">
        <v>0.78750881316098709</v>
      </c>
      <c r="I2">
        <v>5.5828339366707933E-2</v>
      </c>
      <c r="J2">
        <v>0.52100483806726416</v>
      </c>
      <c r="K2">
        <v>5.5166267800154226E-2</v>
      </c>
      <c r="L2">
        <v>0.65778730836729304</v>
      </c>
      <c r="M2">
        <v>3.4343685177633518E-2</v>
      </c>
      <c r="N2">
        <v>0.58319635691289995</v>
      </c>
      <c r="O2">
        <v>3.5148362833371971E-2</v>
      </c>
      <c r="P2">
        <v>0.54139474256135833</v>
      </c>
      <c r="Q2">
        <v>5.3661836580593432E-2</v>
      </c>
      <c r="R2">
        <v>0.90267338510533235</v>
      </c>
      <c r="S2">
        <v>1.0554823278057781E-2</v>
      </c>
      <c r="T2">
        <v>8.1649090000000007E-2</v>
      </c>
      <c r="U2">
        <v>0.35473099981178241</v>
      </c>
      <c r="V2" t="s">
        <v>70</v>
      </c>
    </row>
    <row r="3" spans="1:22" x14ac:dyDescent="0.25">
      <c r="A3" t="s">
        <v>44</v>
      </c>
      <c r="B3">
        <v>0.841742944317315</v>
      </c>
      <c r="D3">
        <v>0.83623693379790942</v>
      </c>
      <c r="F3">
        <v>0.85087719298245612</v>
      </c>
      <c r="H3">
        <v>0.83260869565217388</v>
      </c>
      <c r="J3">
        <v>0.55747126436781613</v>
      </c>
      <c r="L3">
        <v>0.67361111111111105</v>
      </c>
      <c r="N3">
        <v>0.59327530898204062</v>
      </c>
      <c r="P3">
        <v>0.57055078000636716</v>
      </c>
      <c r="R3">
        <v>0.91451182303585044</v>
      </c>
      <c r="T3">
        <v>1.3496726999999999</v>
      </c>
      <c r="U3">
        <v>2.351346167247387</v>
      </c>
      <c r="V3" t="s">
        <v>71</v>
      </c>
    </row>
    <row r="4" spans="1:22" x14ac:dyDescent="0.25">
      <c r="A4" t="s">
        <v>41</v>
      </c>
      <c r="B4">
        <v>0.84294424859642247</v>
      </c>
      <c r="C4">
        <v>2.6730441227893521E-2</v>
      </c>
      <c r="D4">
        <v>0.80753999623564832</v>
      </c>
      <c r="E4">
        <v>4.2188378997362982E-2</v>
      </c>
      <c r="F4">
        <v>0.90178743961352659</v>
      </c>
      <c r="G4">
        <v>5.3458786731891611E-2</v>
      </c>
      <c r="H4">
        <v>0.78410105757931858</v>
      </c>
      <c r="I4">
        <v>5.9007780152252512E-2</v>
      </c>
      <c r="J4">
        <v>0.51696112576572595</v>
      </c>
      <c r="K4">
        <v>6.0020306994633794E-2</v>
      </c>
      <c r="L4">
        <v>0.65410793800999711</v>
      </c>
      <c r="M4">
        <v>4.5011641483098136E-2</v>
      </c>
      <c r="N4">
        <v>0.57790585352395363</v>
      </c>
      <c r="O4">
        <v>5.4386184003835714E-2</v>
      </c>
      <c r="P4">
        <v>0.53588002368324361</v>
      </c>
      <c r="Q4">
        <v>6.7980998886321295E-2</v>
      </c>
      <c r="R4">
        <v>0.90342394000806103</v>
      </c>
      <c r="S4">
        <v>2.2736922485175788E-2</v>
      </c>
      <c r="T4">
        <v>3.4971370000000002E-2</v>
      </c>
      <c r="U4">
        <v>0.15192413833992094</v>
      </c>
      <c r="V4" t="s">
        <v>68</v>
      </c>
    </row>
    <row r="5" spans="1:22" x14ac:dyDescent="0.25">
      <c r="A5" t="s">
        <v>42</v>
      </c>
      <c r="B5">
        <v>0.86479786422578186</v>
      </c>
      <c r="D5">
        <v>0.84146341463414631</v>
      </c>
      <c r="F5">
        <v>0.90350877192982459</v>
      </c>
      <c r="H5">
        <v>0.82608695652173914</v>
      </c>
      <c r="J5">
        <v>0.56284153005464477</v>
      </c>
      <c r="L5">
        <v>0.69360269360269344</v>
      </c>
      <c r="N5">
        <v>0.62459672196738647</v>
      </c>
      <c r="P5">
        <v>0.59431163303664314</v>
      </c>
      <c r="R5">
        <v>0.90909610983981637</v>
      </c>
      <c r="T5">
        <v>0.53753980000000001</v>
      </c>
      <c r="U5">
        <v>0.93648048780487803</v>
      </c>
      <c r="V5" t="s">
        <v>69</v>
      </c>
    </row>
    <row r="6" spans="1:22" x14ac:dyDescent="0.25">
      <c r="A6" t="s">
        <v>39</v>
      </c>
      <c r="B6">
        <v>0.86826870348609475</v>
      </c>
      <c r="C6">
        <v>2.0606253007863312E-2</v>
      </c>
      <c r="D6">
        <v>0.83883681535855459</v>
      </c>
      <c r="E6">
        <v>2.4954096201355642E-2</v>
      </c>
      <c r="F6">
        <v>0.91710144927536241</v>
      </c>
      <c r="G6">
        <v>4.1931204547158686E-2</v>
      </c>
      <c r="H6">
        <v>0.81943595769682742</v>
      </c>
      <c r="I6">
        <v>3.4089049256909511E-2</v>
      </c>
      <c r="J6">
        <v>0.56136953752753338</v>
      </c>
      <c r="K6">
        <v>4.7101251911912521E-2</v>
      </c>
      <c r="L6">
        <v>0.69486703714299991</v>
      </c>
      <c r="M6">
        <v>3.46518028554555E-2</v>
      </c>
      <c r="N6">
        <v>0.62875048266604971</v>
      </c>
      <c r="O6">
        <v>4.2270923378692156E-2</v>
      </c>
      <c r="P6">
        <v>0.59446074503244328</v>
      </c>
      <c r="Q6">
        <v>4.9005248138668404E-2</v>
      </c>
      <c r="R6">
        <v>0.91904482649000629</v>
      </c>
      <c r="S6">
        <v>1.180671554601277E-2</v>
      </c>
      <c r="T6">
        <v>5.5845029999999997E-2</v>
      </c>
      <c r="U6">
        <v>0.24259616807829851</v>
      </c>
      <c r="V6" t="s">
        <v>66</v>
      </c>
    </row>
    <row r="7" spans="1:22" x14ac:dyDescent="0.25">
      <c r="A7" t="s">
        <v>40</v>
      </c>
      <c r="B7">
        <v>0.83274218154080848</v>
      </c>
      <c r="D7">
        <v>0.86411149825783973</v>
      </c>
      <c r="F7">
        <v>0.7807017543859649</v>
      </c>
      <c r="H7">
        <v>0.88478260869565217</v>
      </c>
      <c r="J7">
        <v>0.62676056338028174</v>
      </c>
      <c r="L7">
        <v>0.6953125</v>
      </c>
      <c r="N7">
        <v>0.61529466742251149</v>
      </c>
      <c r="P7">
        <v>0.60921025068081802</v>
      </c>
      <c r="R7">
        <v>0.92560068649885585</v>
      </c>
      <c r="T7">
        <v>0.80995399999999995</v>
      </c>
      <c r="U7">
        <v>1.4110696864111498</v>
      </c>
      <c r="V7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48ED-D3E3-4717-B913-84F887DFBC8D}">
  <dimension ref="A1:S21"/>
  <sheetViews>
    <sheetView tabSelected="1" topLeftCell="A6" workbookViewId="0">
      <selection activeCell="F23" sqref="F23"/>
    </sheetView>
  </sheetViews>
  <sheetFormatPr defaultRowHeight="15" x14ac:dyDescent="0.25"/>
  <cols>
    <col min="1" max="1" width="62" bestFit="1" customWidth="1"/>
    <col min="2" max="19" width="16.14062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27</v>
      </c>
      <c r="B2">
        <v>0.84573508290899591</v>
      </c>
      <c r="C2">
        <v>1.2609872957312054E-2</v>
      </c>
      <c r="D2">
        <v>0.81063617541878408</v>
      </c>
      <c r="E2">
        <v>3.6399372837098869E-2</v>
      </c>
      <c r="F2">
        <v>0.90396135265700472</v>
      </c>
      <c r="G2">
        <v>4.8409878942455173E-2</v>
      </c>
      <c r="H2">
        <v>0.78750881316098709</v>
      </c>
      <c r="I2">
        <v>5.5828339366707933E-2</v>
      </c>
      <c r="J2">
        <v>0.52100483806726416</v>
      </c>
      <c r="K2">
        <v>5.5166267800154226E-2</v>
      </c>
      <c r="L2">
        <v>0.65778730836729304</v>
      </c>
      <c r="M2">
        <v>3.4343685177633518E-2</v>
      </c>
      <c r="N2">
        <v>0.58319635691289995</v>
      </c>
      <c r="O2">
        <v>3.5148362833371971E-2</v>
      </c>
      <c r="P2">
        <v>0.54139474256135833</v>
      </c>
      <c r="Q2">
        <v>5.3661836580593432E-2</v>
      </c>
      <c r="R2">
        <v>0.90267338510533235</v>
      </c>
      <c r="S2">
        <v>1.0554823278057781E-2</v>
      </c>
    </row>
    <row r="3" spans="1:19" x14ac:dyDescent="0.25">
      <c r="A3" t="s">
        <v>28</v>
      </c>
      <c r="B3">
        <v>0.841742944317315</v>
      </c>
      <c r="D3">
        <v>0.83623693379790942</v>
      </c>
      <c r="F3">
        <v>0.85087719298245612</v>
      </c>
      <c r="H3">
        <v>0.83260869565217388</v>
      </c>
      <c r="J3">
        <v>0.55747126436781613</v>
      </c>
      <c r="L3">
        <v>0.67361111111111105</v>
      </c>
      <c r="N3">
        <v>0.59327530898204062</v>
      </c>
      <c r="P3">
        <v>0.57055078000636716</v>
      </c>
      <c r="R3">
        <v>0.91451182303585044</v>
      </c>
    </row>
    <row r="4" spans="1:19" x14ac:dyDescent="0.25">
      <c r="A4" t="s">
        <v>25</v>
      </c>
      <c r="B4">
        <v>0.84294424859642247</v>
      </c>
      <c r="C4">
        <v>2.6730441227893521E-2</v>
      </c>
      <c r="D4">
        <v>0.80753999623564832</v>
      </c>
      <c r="E4">
        <v>4.2188378997362982E-2</v>
      </c>
      <c r="F4">
        <v>0.90178743961352659</v>
      </c>
      <c r="G4">
        <v>5.3458786731891611E-2</v>
      </c>
      <c r="H4">
        <v>0.78410105757931858</v>
      </c>
      <c r="I4">
        <v>5.9007780152252512E-2</v>
      </c>
      <c r="J4">
        <v>0.51696112576572595</v>
      </c>
      <c r="K4">
        <v>6.0020306994633794E-2</v>
      </c>
      <c r="L4">
        <v>0.65410793800999711</v>
      </c>
      <c r="M4">
        <v>4.5011641483098136E-2</v>
      </c>
      <c r="N4">
        <v>0.57790585352395363</v>
      </c>
      <c r="O4">
        <v>5.4386184003835714E-2</v>
      </c>
      <c r="P4">
        <v>0.53588002368324361</v>
      </c>
      <c r="Q4">
        <v>6.7980998886321295E-2</v>
      </c>
      <c r="R4">
        <v>0.90342394000806103</v>
      </c>
      <c r="S4">
        <v>2.2736922485175788E-2</v>
      </c>
    </row>
    <row r="5" spans="1:19" x14ac:dyDescent="0.25">
      <c r="A5" t="s">
        <v>26</v>
      </c>
      <c r="B5">
        <v>0.86479786422578186</v>
      </c>
      <c r="D5">
        <v>0.84146341463414631</v>
      </c>
      <c r="F5">
        <v>0.90350877192982459</v>
      </c>
      <c r="H5">
        <v>0.82608695652173914</v>
      </c>
      <c r="J5">
        <v>0.56284153005464477</v>
      </c>
      <c r="L5">
        <v>0.69360269360269344</v>
      </c>
      <c r="N5">
        <v>0.62459672196738647</v>
      </c>
      <c r="P5">
        <v>0.59431163303664314</v>
      </c>
      <c r="R5">
        <v>0.90909610983981637</v>
      </c>
    </row>
    <row r="6" spans="1:19" x14ac:dyDescent="0.25">
      <c r="A6" t="s">
        <v>23</v>
      </c>
      <c r="B6">
        <v>0.86826870348609475</v>
      </c>
      <c r="C6">
        <v>2.0606253007863312E-2</v>
      </c>
      <c r="D6">
        <v>0.83883681535855459</v>
      </c>
      <c r="E6">
        <v>2.4954096201355642E-2</v>
      </c>
      <c r="F6">
        <v>0.91710144927536241</v>
      </c>
      <c r="G6">
        <v>4.1931204547158686E-2</v>
      </c>
      <c r="H6">
        <v>0.81943595769682742</v>
      </c>
      <c r="I6">
        <v>3.4089049256909511E-2</v>
      </c>
      <c r="J6">
        <v>0.56136953752753338</v>
      </c>
      <c r="K6">
        <v>4.7101251911912521E-2</v>
      </c>
      <c r="L6">
        <v>0.69486703714299991</v>
      </c>
      <c r="M6">
        <v>3.46518028554555E-2</v>
      </c>
      <c r="N6">
        <v>0.62875048266604971</v>
      </c>
      <c r="O6">
        <v>4.2270923378692156E-2</v>
      </c>
      <c r="P6">
        <v>0.59446074503244328</v>
      </c>
      <c r="Q6">
        <v>4.9005248138668404E-2</v>
      </c>
      <c r="R6">
        <v>0.91904482649000629</v>
      </c>
      <c r="S6">
        <v>1.180671554601277E-2</v>
      </c>
    </row>
    <row r="7" spans="1:19" x14ac:dyDescent="0.25">
      <c r="A7" t="s">
        <v>24</v>
      </c>
      <c r="B7">
        <v>0.83274218154080848</v>
      </c>
      <c r="D7">
        <v>0.86411149825783973</v>
      </c>
      <c r="F7">
        <v>0.7807017543859649</v>
      </c>
      <c r="H7">
        <v>0.88478260869565217</v>
      </c>
      <c r="J7">
        <v>0.62676056338028174</v>
      </c>
      <c r="L7">
        <v>0.6953125</v>
      </c>
      <c r="N7">
        <v>0.61529466742251149</v>
      </c>
      <c r="P7">
        <v>0.60921025068081802</v>
      </c>
      <c r="R7">
        <v>0.92560068649885585</v>
      </c>
    </row>
    <row r="9" spans="1:19" x14ac:dyDescent="0.25">
      <c r="B9" t="str">
        <f>TEXT(B2,"0.0000") &amp; " ± " &amp; TEXT(C2,"0.0000")</f>
        <v>0.8457 ± 0.0126</v>
      </c>
      <c r="C9" t="str">
        <f t="shared" ref="C9:S14" si="0">TEXT(C2,"0.0000") &amp; " ± " &amp; TEXT(D2,"0.0000")</f>
        <v>0.0126 ± 0.8106</v>
      </c>
      <c r="D9" t="str">
        <f t="shared" si="0"/>
        <v>0.8106 ± 0.0364</v>
      </c>
      <c r="E9" t="str">
        <f t="shared" si="0"/>
        <v>0.0364 ± 0.9040</v>
      </c>
      <c r="F9" t="str">
        <f t="shared" si="0"/>
        <v>0.9040 ± 0.0484</v>
      </c>
      <c r="G9" t="str">
        <f t="shared" si="0"/>
        <v>0.0484 ± 0.7875</v>
      </c>
      <c r="H9" t="str">
        <f t="shared" si="0"/>
        <v>0.7875 ± 0.0558</v>
      </c>
      <c r="I9" t="str">
        <f t="shared" si="0"/>
        <v>0.0558 ± 0.5210</v>
      </c>
      <c r="J9" t="str">
        <f t="shared" si="0"/>
        <v>0.5210 ± 0.0552</v>
      </c>
      <c r="K9" t="str">
        <f t="shared" si="0"/>
        <v>0.0552 ± 0.6578</v>
      </c>
      <c r="L9" t="str">
        <f t="shared" si="0"/>
        <v>0.6578 ± 0.0343</v>
      </c>
      <c r="M9" t="str">
        <f t="shared" si="0"/>
        <v>0.0343 ± 0.5832</v>
      </c>
      <c r="N9" t="str">
        <f t="shared" si="0"/>
        <v>0.5832 ± 0.0351</v>
      </c>
      <c r="O9" t="str">
        <f t="shared" si="0"/>
        <v>0.0351 ± 0.5414</v>
      </c>
      <c r="P9" t="str">
        <f t="shared" si="0"/>
        <v>0.5414 ± 0.0537</v>
      </c>
      <c r="Q9" t="str">
        <f t="shared" si="0"/>
        <v>0.0537 ± 0.9027</v>
      </c>
      <c r="R9" t="str">
        <f t="shared" si="0"/>
        <v>0.9027 ± 0.0106</v>
      </c>
      <c r="S9" t="str">
        <f t="shared" si="0"/>
        <v>0.0106 ± 0.0000</v>
      </c>
    </row>
    <row r="10" spans="1:19" x14ac:dyDescent="0.25">
      <c r="B10" t="str">
        <f t="shared" ref="B10:Q14" si="1">TEXT(B3,"0.0000") &amp; " ± " &amp; TEXT(C3,"0.0000")</f>
        <v>0.8417 ± 0.0000</v>
      </c>
      <c r="C10" t="str">
        <f t="shared" si="1"/>
        <v>0.0000 ± 0.8362</v>
      </c>
      <c r="D10" t="str">
        <f t="shared" si="1"/>
        <v>0.8362 ± 0.0000</v>
      </c>
      <c r="E10" t="str">
        <f t="shared" si="1"/>
        <v>0.0000 ± 0.8509</v>
      </c>
      <c r="F10" t="str">
        <f t="shared" si="1"/>
        <v>0.8509 ± 0.0000</v>
      </c>
      <c r="G10" t="str">
        <f t="shared" si="1"/>
        <v>0.0000 ± 0.8326</v>
      </c>
      <c r="H10" t="str">
        <f t="shared" si="1"/>
        <v>0.8326 ± 0.0000</v>
      </c>
      <c r="I10" t="str">
        <f t="shared" si="1"/>
        <v>0.0000 ± 0.5575</v>
      </c>
      <c r="J10" t="str">
        <f t="shared" si="1"/>
        <v>0.5575 ± 0.0000</v>
      </c>
      <c r="K10" t="str">
        <f t="shared" si="1"/>
        <v>0.0000 ± 0.6736</v>
      </c>
      <c r="L10" t="str">
        <f t="shared" si="1"/>
        <v>0.6736 ± 0.0000</v>
      </c>
      <c r="M10" t="str">
        <f t="shared" si="1"/>
        <v>0.0000 ± 0.5933</v>
      </c>
      <c r="N10" t="str">
        <f t="shared" si="1"/>
        <v>0.5933 ± 0.0000</v>
      </c>
      <c r="O10" t="str">
        <f t="shared" si="1"/>
        <v>0.0000 ± 0.5706</v>
      </c>
      <c r="P10" t="str">
        <f t="shared" si="1"/>
        <v>0.5706 ± 0.0000</v>
      </c>
      <c r="Q10" t="str">
        <f t="shared" si="1"/>
        <v>0.0000 ± 0.9145</v>
      </c>
      <c r="R10" t="str">
        <f t="shared" si="0"/>
        <v>0.9145 ± 0.0000</v>
      </c>
      <c r="S10" t="str">
        <f t="shared" si="0"/>
        <v>0.0000 ± 0.0000</v>
      </c>
    </row>
    <row r="11" spans="1:19" x14ac:dyDescent="0.25">
      <c r="B11" t="str">
        <f t="shared" si="1"/>
        <v>0.8429 ± 0.0267</v>
      </c>
      <c r="C11" t="str">
        <f t="shared" si="0"/>
        <v>0.0267 ± 0.8075</v>
      </c>
      <c r="D11" t="str">
        <f t="shared" si="0"/>
        <v>0.8075 ± 0.0422</v>
      </c>
      <c r="E11" t="str">
        <f t="shared" si="0"/>
        <v>0.0422 ± 0.9018</v>
      </c>
      <c r="F11" t="str">
        <f t="shared" si="0"/>
        <v>0.9018 ± 0.0535</v>
      </c>
      <c r="G11" t="str">
        <f t="shared" si="0"/>
        <v>0.0535 ± 0.7841</v>
      </c>
      <c r="H11" t="str">
        <f t="shared" si="0"/>
        <v>0.7841 ± 0.0590</v>
      </c>
      <c r="I11" t="str">
        <f t="shared" si="0"/>
        <v>0.0590 ± 0.5170</v>
      </c>
      <c r="J11" t="str">
        <f t="shared" si="0"/>
        <v>0.5170 ± 0.0600</v>
      </c>
      <c r="K11" t="str">
        <f t="shared" si="0"/>
        <v>0.0600 ± 0.6541</v>
      </c>
      <c r="L11" t="str">
        <f t="shared" si="0"/>
        <v>0.6541 ± 0.0450</v>
      </c>
      <c r="M11" t="str">
        <f t="shared" si="0"/>
        <v>0.0450 ± 0.5779</v>
      </c>
      <c r="N11" t="str">
        <f t="shared" si="0"/>
        <v>0.5779 ± 0.0544</v>
      </c>
      <c r="O11" t="str">
        <f t="shared" si="0"/>
        <v>0.0544 ± 0.5359</v>
      </c>
      <c r="P11" t="str">
        <f t="shared" si="0"/>
        <v>0.5359 ± 0.0680</v>
      </c>
      <c r="Q11" t="str">
        <f t="shared" si="0"/>
        <v>0.0680 ± 0.9034</v>
      </c>
      <c r="R11" t="str">
        <f t="shared" si="0"/>
        <v>0.9034 ± 0.0227</v>
      </c>
      <c r="S11" t="str">
        <f t="shared" si="0"/>
        <v>0.0227 ± 0.0000</v>
      </c>
    </row>
    <row r="12" spans="1:19" x14ac:dyDescent="0.25">
      <c r="B12" t="str">
        <f t="shared" si="1"/>
        <v>0.8648 ± 0.0000</v>
      </c>
      <c r="C12" t="str">
        <f t="shared" si="0"/>
        <v>0.0000 ± 0.8415</v>
      </c>
      <c r="D12" t="str">
        <f t="shared" si="0"/>
        <v>0.8415 ± 0.0000</v>
      </c>
      <c r="E12" t="str">
        <f t="shared" si="0"/>
        <v>0.0000 ± 0.9035</v>
      </c>
      <c r="F12" t="str">
        <f t="shared" si="0"/>
        <v>0.9035 ± 0.0000</v>
      </c>
      <c r="G12" t="str">
        <f t="shared" si="0"/>
        <v>0.0000 ± 0.8261</v>
      </c>
      <c r="H12" t="str">
        <f t="shared" si="0"/>
        <v>0.8261 ± 0.0000</v>
      </c>
      <c r="I12" t="str">
        <f t="shared" si="0"/>
        <v>0.0000 ± 0.5628</v>
      </c>
      <c r="J12" t="str">
        <f t="shared" si="0"/>
        <v>0.5628 ± 0.0000</v>
      </c>
      <c r="K12" t="str">
        <f t="shared" si="0"/>
        <v>0.0000 ± 0.6936</v>
      </c>
      <c r="L12" t="str">
        <f t="shared" si="0"/>
        <v>0.6936 ± 0.0000</v>
      </c>
      <c r="M12" t="str">
        <f t="shared" si="0"/>
        <v>0.0000 ± 0.6246</v>
      </c>
      <c r="N12" t="str">
        <f t="shared" si="0"/>
        <v>0.6246 ± 0.0000</v>
      </c>
      <c r="O12" t="str">
        <f t="shared" si="0"/>
        <v>0.0000 ± 0.5943</v>
      </c>
      <c r="P12" t="str">
        <f t="shared" si="0"/>
        <v>0.5943 ± 0.0000</v>
      </c>
      <c r="Q12" t="str">
        <f t="shared" si="0"/>
        <v>0.0000 ± 0.9091</v>
      </c>
      <c r="R12" t="str">
        <f t="shared" si="0"/>
        <v>0.9091 ± 0.0000</v>
      </c>
      <c r="S12" t="str">
        <f t="shared" si="0"/>
        <v>0.0000 ± 0.0000</v>
      </c>
    </row>
    <row r="13" spans="1:19" x14ac:dyDescent="0.25">
      <c r="B13" t="str">
        <f t="shared" si="1"/>
        <v>0.8683 ± 0.0206</v>
      </c>
      <c r="C13" t="str">
        <f t="shared" si="0"/>
        <v>0.0206 ± 0.8388</v>
      </c>
      <c r="D13" t="str">
        <f t="shared" si="0"/>
        <v>0.8388 ± 0.0250</v>
      </c>
      <c r="E13" t="str">
        <f t="shared" si="0"/>
        <v>0.0250 ± 0.9171</v>
      </c>
      <c r="F13" t="str">
        <f t="shared" si="0"/>
        <v>0.9171 ± 0.0419</v>
      </c>
      <c r="G13" t="str">
        <f t="shared" si="0"/>
        <v>0.0419 ± 0.8194</v>
      </c>
      <c r="H13" t="str">
        <f t="shared" si="0"/>
        <v>0.8194 ± 0.0341</v>
      </c>
      <c r="I13" t="str">
        <f t="shared" si="0"/>
        <v>0.0341 ± 0.5614</v>
      </c>
      <c r="J13" t="str">
        <f t="shared" si="0"/>
        <v>0.5614 ± 0.0471</v>
      </c>
      <c r="K13" t="str">
        <f t="shared" si="0"/>
        <v>0.0471 ± 0.6949</v>
      </c>
      <c r="L13" t="str">
        <f t="shared" si="0"/>
        <v>0.6949 ± 0.0347</v>
      </c>
      <c r="M13" t="str">
        <f t="shared" si="0"/>
        <v>0.0347 ± 0.6288</v>
      </c>
      <c r="N13" t="str">
        <f t="shared" si="0"/>
        <v>0.6288 ± 0.0423</v>
      </c>
      <c r="O13" t="str">
        <f t="shared" si="0"/>
        <v>0.0423 ± 0.5945</v>
      </c>
      <c r="P13" t="str">
        <f t="shared" si="0"/>
        <v>0.5945 ± 0.0490</v>
      </c>
      <c r="Q13" t="str">
        <f t="shared" si="0"/>
        <v>0.0490 ± 0.9190</v>
      </c>
      <c r="R13" t="str">
        <f t="shared" si="0"/>
        <v>0.9190 ± 0.0118</v>
      </c>
      <c r="S13" t="str">
        <f t="shared" si="0"/>
        <v>0.0118 ± 0.0000</v>
      </c>
    </row>
    <row r="14" spans="1:19" x14ac:dyDescent="0.25">
      <c r="B14" t="str">
        <f t="shared" si="1"/>
        <v>0.8327 ± 0.0000</v>
      </c>
      <c r="C14" t="str">
        <f t="shared" si="0"/>
        <v>0.0000 ± 0.8641</v>
      </c>
      <c r="D14" t="str">
        <f t="shared" si="0"/>
        <v>0.8641 ± 0.0000</v>
      </c>
      <c r="E14" t="str">
        <f t="shared" si="0"/>
        <v>0.0000 ± 0.7807</v>
      </c>
      <c r="F14" t="str">
        <f t="shared" si="0"/>
        <v>0.7807 ± 0.0000</v>
      </c>
      <c r="G14" t="str">
        <f t="shared" si="0"/>
        <v>0.0000 ± 0.8848</v>
      </c>
      <c r="H14" t="str">
        <f t="shared" si="0"/>
        <v>0.8848 ± 0.0000</v>
      </c>
      <c r="I14" t="str">
        <f t="shared" si="0"/>
        <v>0.0000 ± 0.6268</v>
      </c>
      <c r="J14" t="str">
        <f t="shared" si="0"/>
        <v>0.6268 ± 0.0000</v>
      </c>
      <c r="K14" t="str">
        <f t="shared" si="0"/>
        <v>0.0000 ± 0.6953</v>
      </c>
      <c r="L14" t="str">
        <f t="shared" si="0"/>
        <v>0.6953 ± 0.0000</v>
      </c>
      <c r="M14" t="str">
        <f t="shared" si="0"/>
        <v>0.0000 ± 0.6153</v>
      </c>
      <c r="N14" t="str">
        <f t="shared" si="0"/>
        <v>0.6153 ± 0.0000</v>
      </c>
      <c r="O14" t="str">
        <f t="shared" si="0"/>
        <v>0.0000 ± 0.6092</v>
      </c>
      <c r="P14" t="str">
        <f t="shared" si="0"/>
        <v>0.6092 ± 0.0000</v>
      </c>
      <c r="Q14" t="str">
        <f t="shared" si="0"/>
        <v>0.0000 ± 0.9256</v>
      </c>
      <c r="R14" t="str">
        <f t="shared" si="0"/>
        <v>0.9256 ± 0.0000</v>
      </c>
      <c r="S14" t="str">
        <f t="shared" si="0"/>
        <v>0.0000 ± 0.0000</v>
      </c>
    </row>
    <row r="16" spans="1:19" x14ac:dyDescent="0.25">
      <c r="D16" t="s">
        <v>72</v>
      </c>
      <c r="E16" t="s">
        <v>78</v>
      </c>
      <c r="F16" t="s">
        <v>84</v>
      </c>
      <c r="G16" t="s">
        <v>90</v>
      </c>
      <c r="H16" t="s">
        <v>96</v>
      </c>
      <c r="I16" t="s">
        <v>102</v>
      </c>
      <c r="J16" t="s">
        <v>108</v>
      </c>
      <c r="K16" t="s">
        <v>114</v>
      </c>
    </row>
    <row r="17" spans="4:11" x14ac:dyDescent="0.25">
      <c r="D17" t="s">
        <v>73</v>
      </c>
      <c r="E17" t="s">
        <v>79</v>
      </c>
      <c r="F17" t="s">
        <v>85</v>
      </c>
      <c r="G17" t="s">
        <v>91</v>
      </c>
      <c r="H17" t="s">
        <v>97</v>
      </c>
      <c r="I17" t="s">
        <v>103</v>
      </c>
      <c r="J17" t="s">
        <v>109</v>
      </c>
      <c r="K17" t="s">
        <v>115</v>
      </c>
    </row>
    <row r="18" spans="4:11" x14ac:dyDescent="0.25">
      <c r="D18" t="s">
        <v>74</v>
      </c>
      <c r="E18" t="s">
        <v>80</v>
      </c>
      <c r="F18" t="s">
        <v>86</v>
      </c>
      <c r="G18" t="s">
        <v>92</v>
      </c>
      <c r="H18" t="s">
        <v>98</v>
      </c>
      <c r="I18" t="s">
        <v>104</v>
      </c>
      <c r="J18" t="s">
        <v>110</v>
      </c>
      <c r="K18" t="s">
        <v>116</v>
      </c>
    </row>
    <row r="19" spans="4:11" x14ac:dyDescent="0.25">
      <c r="D19" t="s">
        <v>75</v>
      </c>
      <c r="E19" t="s">
        <v>81</v>
      </c>
      <c r="F19" t="s">
        <v>87</v>
      </c>
      <c r="G19" t="s">
        <v>93</v>
      </c>
      <c r="H19" t="s">
        <v>99</v>
      </c>
      <c r="I19" t="s">
        <v>105</v>
      </c>
      <c r="J19" t="s">
        <v>111</v>
      </c>
      <c r="K19" t="s">
        <v>117</v>
      </c>
    </row>
    <row r="20" spans="4:11" x14ac:dyDescent="0.25">
      <c r="D20" t="s">
        <v>76</v>
      </c>
      <c r="E20" t="s">
        <v>82</v>
      </c>
      <c r="F20" t="s">
        <v>88</v>
      </c>
      <c r="G20" t="s">
        <v>94</v>
      </c>
      <c r="H20" t="s">
        <v>100</v>
      </c>
      <c r="I20" t="s">
        <v>106</v>
      </c>
      <c r="J20" t="s">
        <v>112</v>
      </c>
      <c r="K20" t="s">
        <v>118</v>
      </c>
    </row>
    <row r="21" spans="4:11" x14ac:dyDescent="0.25">
      <c r="D21" t="s">
        <v>77</v>
      </c>
      <c r="E21" t="s">
        <v>83</v>
      </c>
      <c r="F21" t="s">
        <v>89</v>
      </c>
      <c r="G21" t="s">
        <v>95</v>
      </c>
      <c r="H21" t="s">
        <v>101</v>
      </c>
      <c r="I21" t="s">
        <v>107</v>
      </c>
      <c r="J21" t="s">
        <v>113</v>
      </c>
      <c r="K2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CV_MeanSD</vt:lpstr>
      <vt:lpstr>CV_test_Mean</vt:lpstr>
      <vt:lpstr>pub_SVMresults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2026-10-15T17:43:18Z</dcterms:modified>
</cp:coreProperties>
</file>