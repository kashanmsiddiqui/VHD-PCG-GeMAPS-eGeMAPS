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TLAB files\Matlab files - GeMAPS paper\Second Revision - GeMAPS\Table6_KNN_presetYaseen\"/>
    </mc:Choice>
  </mc:AlternateContent>
  <xr:revisionPtr revIDLastSave="0" documentId="13_ncr:1_{1837A5EF-BC76-4D3A-B894-D5A9FFBE80BE}" xr6:coauthVersionLast="47" xr6:coauthVersionMax="47" xr10:uidLastSave="{00000000-0000-0000-0000-000000000000}"/>
  <bookViews>
    <workbookView xWindow="-24120" yWindow="-120" windowWidth="24240" windowHeight="13740" activeTab="3" xr2:uid="{00000000-000D-0000-FFFF-FFFF00000000}"/>
  </bookViews>
  <sheets>
    <sheet name="CV_MeanSD" sheetId="2" r:id="rId1"/>
    <sheet name="CV_test_Mean" sheetId="3" r:id="rId2"/>
    <sheet name="pub_results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B14" i="5"/>
  <c r="B10" i="5"/>
  <c r="B11" i="5"/>
  <c r="B12" i="5"/>
  <c r="B13" i="5"/>
  <c r="B9" i="5"/>
</calcChain>
</file>

<file path=xl/sharedStrings.xml><?xml version="1.0" encoding="utf-8"?>
<sst xmlns="http://schemas.openxmlformats.org/spreadsheetml/2006/main" count="145" uniqueCount="90">
  <si>
    <t>filename</t>
  </si>
  <si>
    <t>withoutSFFS_GeMAPS_preset_Physionet_20261015_190100</t>
  </si>
  <si>
    <t>withoutSFFS_combined_preset_Physionet_20261015_190100</t>
  </si>
  <si>
    <t>withoutSFFS_shen_preset_Physionet_20261015_185510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</si>
  <si>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</si>
  <si>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</si>
  <si>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</si>
  <si>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</si>
  <si>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</si>
  <si>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</si>
  <si>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</si>
  <si>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</si>
  <si>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</si>
  <si>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</si>
  <si>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</si>
  <si>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</si>
  <si>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</si>
  <si>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</si>
  <si>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</si>
  <si>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</si>
  <si>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</si>
  <si>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</si>
  <si>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filename</t>
  </si>
  <si>
    <t>withoutSFFS_GeMAPS_preset_Physionet_20261015_190100_CV</t>
  </si>
  <si>
    <t>withoutSFFS_GeMAPS_preset_Physionet_20261015_190100_Test</t>
  </si>
  <si>
    <t>withoutSFFS_combined_preset_Physionet_20261015_190100_CV</t>
  </si>
  <si>
    <t>withoutSFFS_combined_preset_Physionet_20261015_190100_Test</t>
  </si>
  <si>
    <t>withoutSFFS_shen_preset_Physionet_20261015_185510_CV</t>
  </si>
  <si>
    <t>withoutSFFS_shen_preset_Physionet_20261015_185510_Test</t>
  </si>
  <si>
    <t>mean_balancedAcc</t>
  </si>
  <si>
    <t>mean_accuracy</t>
  </si>
  <si>
    <t>mean_sensitivity</t>
  </si>
  <si>
    <t>mean_specificity</t>
  </si>
  <si>
    <t>mean_precision</t>
  </si>
  <si>
    <t>mean_f1</t>
  </si>
  <si>
    <t>mean_mcc</t>
  </si>
  <si>
    <t>mean_kappa</t>
  </si>
  <si>
    <t>mean_auc</t>
  </si>
  <si>
    <t>filename</t>
  </si>
  <si>
    <t>withoutSFFS_GeMAPS_preset_Physionet_20261015_190100_CV</t>
  </si>
  <si>
    <t>withoutSFFS_GeMAPS_preset_Physionet_20261015_190100_Test</t>
  </si>
  <si>
    <t>withoutSFFS_combined_preset_Physionet_20261015_190100_CV</t>
  </si>
  <si>
    <t>withoutSFFS_combined_preset_Physionet_20261015_190100_Test</t>
  </si>
  <si>
    <t>withoutSFFS_shen_preset_Physionet_20261015_185510_CV</t>
  </si>
  <si>
    <t>withoutSFFS_shen_preset_Physionet_20261015_185510_Test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</si>
  <si>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</si>
  <si>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</si>
  <si>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</si>
  <si>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</si>
  <si>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</si>
  <si>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</si>
  <si>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</si>
  <si>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</si>
  <si>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</si>
  <si>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</si>
  <si>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</si>
  <si>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</si>
  <si>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</si>
  <si>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</si>
  <si>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</si>
  <si>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</si>
  <si>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</si>
  <si>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</si>
  <si>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totalInferenceTime_s</t>
  </si>
  <si>
    <t>avgInferenceTime_ms</t>
  </si>
  <si>
    <t>confMat</t>
  </si>
  <si>
    <t>TN=160, FP=0, FN=1, TP=159</t>
  </si>
  <si>
    <t>TN=40, FP=0, FN=0, TP=40</t>
  </si>
  <si>
    <t>TN=160, FP=0, FN=3, TP=157</t>
  </si>
  <si>
    <t>TN=40, FP=0, FN=0, TP=40</t>
  </si>
  <si>
    <t>TN=158, FP=2, FN=7, TP=153</t>
  </si>
  <si>
    <t>TN=40, FP=0, FN=0, TP=40</t>
  </si>
  <si>
    <t>0.9969 ± 0.0099</t>
  </si>
  <si>
    <t>1.0000 ± 0.0000</t>
  </si>
  <si>
    <t>0.9906 ± 0.0151</t>
  </si>
  <si>
    <t>0.9719 ± 0.0231</t>
  </si>
  <si>
    <t>0.9938 ± 0.0198</t>
  </si>
  <si>
    <t>0.9813 ± 0.0302</t>
  </si>
  <si>
    <t>0.9563 ± 0.0422</t>
  </si>
  <si>
    <t>0.9875 ± 0.0264</t>
  </si>
  <si>
    <t>0.9879 ± 0.0256</t>
  </si>
  <si>
    <t>0.9968 ± 0.0102</t>
  </si>
  <si>
    <t>0.9903 ± 0.0156</t>
  </si>
  <si>
    <t>0.9711 ± 0.0238</t>
  </si>
  <si>
    <t>0.9939 ± 0.0192</t>
  </si>
  <si>
    <t>0.9818 ± 0.0293</t>
  </si>
  <si>
    <t>0.9454 ± 0.0449</t>
  </si>
  <si>
    <t>0.9438 ± 0.0461</t>
  </si>
  <si>
    <t>0.9998 ± 0.0006</t>
  </si>
  <si>
    <t>0.9963 ± 0.0098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</si>
</sst>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workbookViewId="0"/>
  </sheetViews>
  <sheetFormatPr defaultRowHeight="15" x14ac:dyDescent="0.25"/>
  <cols>
    <col min="1" max="1" width="54.5703125" customWidth="1"/>
    <col min="2" max="2" width="18.140625" customWidth="1"/>
    <col min="3" max="3" width="15.85546875" customWidth="1"/>
    <col min="4" max="4" width="14.5703125" customWidth="1"/>
    <col min="5" max="5" width="14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42578125" customWidth="1"/>
    <col min="17" max="17" width="13.7109375" customWidth="1"/>
    <col min="18" max="18" width="12.7109375" customWidth="1"/>
    <col min="19" max="19" width="15.710937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1</v>
      </c>
      <c r="B2">
        <v>0.99687499999999996</v>
      </c>
      <c r="C2">
        <v>9.8821176880261822E-3</v>
      </c>
      <c r="D2">
        <v>0.99687499999999996</v>
      </c>
      <c r="E2">
        <v>9.8821176880261822E-3</v>
      </c>
      <c r="F2">
        <v>0.99375000000000002</v>
      </c>
      <c r="G2">
        <v>1.9764235376052368E-2</v>
      </c>
      <c r="H2">
        <v>1</v>
      </c>
      <c r="I2">
        <v>0</v>
      </c>
      <c r="J2">
        <v>1</v>
      </c>
      <c r="K2">
        <v>0</v>
      </c>
      <c r="L2">
        <v>0.99677419354838714</v>
      </c>
      <c r="M2">
        <v>1.020089567796254E-2</v>
      </c>
      <c r="N2">
        <v>0.99393364366277237</v>
      </c>
      <c r="O2">
        <v>1.9183503123835637E-2</v>
      </c>
      <c r="P2">
        <v>0.9937499999999998</v>
      </c>
      <c r="Q2">
        <v>1.9764235376052371E-2</v>
      </c>
      <c r="R2">
        <v>1</v>
      </c>
      <c r="S2">
        <v>0</v>
      </c>
    </row>
    <row r="3" spans="1:19" x14ac:dyDescent="0.25">
      <c r="A3" t="s">
        <v>2</v>
      </c>
      <c r="B3">
        <v>0.99062499999999998</v>
      </c>
      <c r="C3">
        <v>1.5095184110613998E-2</v>
      </c>
      <c r="D3">
        <v>0.99062499999999998</v>
      </c>
      <c r="E3">
        <v>1.5095184110613998E-2</v>
      </c>
      <c r="F3">
        <v>0.98124999999999996</v>
      </c>
      <c r="G3">
        <v>3.0190368221227996E-2</v>
      </c>
      <c r="H3">
        <v>1</v>
      </c>
      <c r="I3">
        <v>0</v>
      </c>
      <c r="J3">
        <v>1</v>
      </c>
      <c r="K3">
        <v>0</v>
      </c>
      <c r="L3">
        <v>0.99032258064516121</v>
      </c>
      <c r="M3">
        <v>1.5582125533537073E-2</v>
      </c>
      <c r="N3">
        <v>0.98180093098831733</v>
      </c>
      <c r="O3">
        <v>2.9303285053132868E-2</v>
      </c>
      <c r="P3">
        <v>0.98124999999999984</v>
      </c>
      <c r="Q3">
        <v>3.0190368221227996E-2</v>
      </c>
      <c r="R3">
        <v>0.99980468749999996</v>
      </c>
      <c r="S3">
        <v>6.176323555016366E-4</v>
      </c>
    </row>
    <row r="4" spans="1:19" x14ac:dyDescent="0.25">
      <c r="A4" t="s">
        <v>3</v>
      </c>
      <c r="B4">
        <v>0.97187500000000004</v>
      </c>
      <c r="C4">
        <v>2.3058274605394429E-2</v>
      </c>
      <c r="D4">
        <v>0.97187500000000004</v>
      </c>
      <c r="E4">
        <v>2.3058274605394429E-2</v>
      </c>
      <c r="F4">
        <v>0.95625000000000004</v>
      </c>
      <c r="G4">
        <v>4.2184284856909553E-2</v>
      </c>
      <c r="H4">
        <v>0.98750000000000004</v>
      </c>
      <c r="I4">
        <v>2.6352313834736494E-2</v>
      </c>
      <c r="J4">
        <v>0.98786764705882357</v>
      </c>
      <c r="K4">
        <v>2.5591920890008359E-2</v>
      </c>
      <c r="L4">
        <v>0.97114980449657862</v>
      </c>
      <c r="M4">
        <v>2.3823334008305327E-2</v>
      </c>
      <c r="N4">
        <v>0.94535992868268193</v>
      </c>
      <c r="O4">
        <v>4.4862179160028486E-2</v>
      </c>
      <c r="P4">
        <v>0.94374999999999987</v>
      </c>
      <c r="Q4">
        <v>4.6116549210788831E-2</v>
      </c>
      <c r="R4">
        <v>0.99628906250000004</v>
      </c>
      <c r="S4">
        <v>9.8498968077029014E-3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" x14ac:dyDescent="0.25"/>
  <cols>
    <col min="1" max="1" width="59.28515625" customWidth="1"/>
    <col min="2" max="2" width="18.140625" customWidth="1"/>
    <col min="3" max="3" width="14.5703125" customWidth="1"/>
    <col min="4" max="4" width="16.28515625" customWidth="1"/>
    <col min="5" max="5" width="16.140625" customWidth="1"/>
    <col min="6" max="6" width="15.28515625" customWidth="1"/>
    <col min="7" max="8" width="12.7109375" customWidth="1"/>
    <col min="9" max="9" width="12.42578125" customWidth="1"/>
    <col min="10" max="10" width="12.7109375" customWidth="1"/>
  </cols>
  <sheetData>
    <row r="1" spans="1:10" x14ac:dyDescent="0.25">
      <c r="A1" t="s">
        <v>22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25">
      <c r="A2" t="s">
        <v>23</v>
      </c>
      <c r="B2">
        <v>0.99687499999999996</v>
      </c>
      <c r="C2">
        <v>0.99687499999999996</v>
      </c>
      <c r="D2">
        <v>0.99375000000000002</v>
      </c>
      <c r="E2">
        <v>1</v>
      </c>
      <c r="F2">
        <v>1</v>
      </c>
      <c r="G2">
        <v>0.99677419354838714</v>
      </c>
      <c r="H2">
        <v>0.99393364366277237</v>
      </c>
      <c r="I2">
        <v>0.9937499999999998</v>
      </c>
      <c r="J2">
        <v>1</v>
      </c>
    </row>
    <row r="3" spans="1:10" x14ac:dyDescent="0.25">
      <c r="A3" t="s">
        <v>24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0.99999999999999956</v>
      </c>
      <c r="J3">
        <v>1</v>
      </c>
    </row>
    <row r="4" spans="1:10" x14ac:dyDescent="0.25">
      <c r="A4" t="s">
        <v>25</v>
      </c>
      <c r="B4">
        <v>0.99062499999999998</v>
      </c>
      <c r="C4">
        <v>0.99062499999999998</v>
      </c>
      <c r="D4">
        <v>0.98124999999999996</v>
      </c>
      <c r="E4">
        <v>1</v>
      </c>
      <c r="F4">
        <v>1</v>
      </c>
      <c r="G4">
        <v>0.99032258064516121</v>
      </c>
      <c r="H4">
        <v>0.98180093098831733</v>
      </c>
      <c r="I4">
        <v>0.98124999999999984</v>
      </c>
      <c r="J4">
        <v>0.99980468749999996</v>
      </c>
    </row>
    <row r="5" spans="1:10" x14ac:dyDescent="0.25">
      <c r="A5" t="s">
        <v>26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0.99999999999999956</v>
      </c>
      <c r="J5">
        <v>1</v>
      </c>
    </row>
    <row r="6" spans="1:10" x14ac:dyDescent="0.25">
      <c r="A6" t="s">
        <v>27</v>
      </c>
      <c r="B6">
        <v>0.97187500000000004</v>
      </c>
      <c r="C6">
        <v>0.97187500000000004</v>
      </c>
      <c r="D6">
        <v>0.95625000000000004</v>
      </c>
      <c r="E6">
        <v>0.98750000000000004</v>
      </c>
      <c r="F6">
        <v>0.98786764705882357</v>
      </c>
      <c r="G6">
        <v>0.97114980449657862</v>
      </c>
      <c r="H6">
        <v>0.94535992868268193</v>
      </c>
      <c r="I6">
        <v>0.94374999999999987</v>
      </c>
      <c r="J6">
        <v>0.99628906250000004</v>
      </c>
    </row>
    <row r="7" spans="1:10" x14ac:dyDescent="0.25">
      <c r="A7" t="s">
        <v>28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0.99999999999999956</v>
      </c>
      <c r="J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topLeftCell="G1" workbookViewId="0">
      <selection sqref="A1:S7"/>
    </sheetView>
  </sheetViews>
  <sheetFormatPr defaultRowHeight="15" x14ac:dyDescent="0.25"/>
  <cols>
    <col min="1" max="1" width="59.28515625" customWidth="1"/>
    <col min="2" max="2" width="18.140625" customWidth="1"/>
    <col min="3" max="3" width="15.85546875" customWidth="1"/>
    <col min="4" max="4" width="14.5703125" customWidth="1"/>
    <col min="5" max="5" width="14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.7109375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42578125" customWidth="1"/>
    <col min="17" max="17" width="13.7109375" customWidth="1"/>
    <col min="18" max="18" width="12.7109375" customWidth="1"/>
    <col min="19" max="19" width="15.7109375" customWidth="1"/>
    <col min="20" max="20" width="20.140625" customWidth="1"/>
    <col min="21" max="21" width="20.7109375" customWidth="1"/>
    <col min="22" max="22" width="25.28515625" customWidth="1"/>
  </cols>
  <sheetData>
    <row r="1" spans="1:22" x14ac:dyDescent="0.25">
      <c r="A1" t="s">
        <v>38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 x14ac:dyDescent="0.25">
      <c r="A2" t="s">
        <v>39</v>
      </c>
      <c r="B2">
        <v>0.99687499999999996</v>
      </c>
      <c r="C2">
        <v>9.8821176880261822E-3</v>
      </c>
      <c r="D2">
        <v>0.99687499999999996</v>
      </c>
      <c r="E2">
        <v>9.8821176880261822E-3</v>
      </c>
      <c r="F2">
        <v>0.99375000000000002</v>
      </c>
      <c r="G2">
        <v>1.9764235376052368E-2</v>
      </c>
      <c r="H2">
        <v>1</v>
      </c>
      <c r="I2">
        <v>0</v>
      </c>
      <c r="J2">
        <v>1</v>
      </c>
      <c r="K2">
        <v>0</v>
      </c>
      <c r="L2">
        <v>0.99677419354838714</v>
      </c>
      <c r="M2">
        <v>1.020089567796254E-2</v>
      </c>
      <c r="N2">
        <v>0.99393364366277237</v>
      </c>
      <c r="O2">
        <v>1.9183503123835637E-2</v>
      </c>
      <c r="P2">
        <v>0.9937499999999998</v>
      </c>
      <c r="Q2">
        <v>1.9764235376052371E-2</v>
      </c>
      <c r="R2">
        <v>1</v>
      </c>
      <c r="S2">
        <v>0</v>
      </c>
      <c r="T2">
        <v>5.3450599999999996E-3</v>
      </c>
      <c r="U2">
        <v>0.167033125</v>
      </c>
      <c r="V2" t="s">
        <v>66</v>
      </c>
    </row>
    <row r="3" spans="1:22" x14ac:dyDescent="0.25">
      <c r="A3" t="s">
        <v>40</v>
      </c>
      <c r="B3">
        <v>1</v>
      </c>
      <c r="D3">
        <v>1</v>
      </c>
      <c r="F3">
        <v>1</v>
      </c>
      <c r="H3">
        <v>1</v>
      </c>
      <c r="J3">
        <v>1</v>
      </c>
      <c r="L3">
        <v>1</v>
      </c>
      <c r="N3">
        <v>1</v>
      </c>
      <c r="P3">
        <v>0.99999999999999956</v>
      </c>
      <c r="R3">
        <v>1</v>
      </c>
      <c r="T3">
        <v>3.7728000000000002E-3</v>
      </c>
      <c r="U3">
        <v>4.7160000000000001E-2</v>
      </c>
      <c r="V3" t="s">
        <v>67</v>
      </c>
    </row>
    <row r="4" spans="1:22" x14ac:dyDescent="0.25">
      <c r="A4" t="s">
        <v>41</v>
      </c>
      <c r="B4">
        <v>0.99062499999999998</v>
      </c>
      <c r="C4">
        <v>1.5095184110613998E-2</v>
      </c>
      <c r="D4">
        <v>0.99062499999999998</v>
      </c>
      <c r="E4">
        <v>1.5095184110613998E-2</v>
      </c>
      <c r="F4">
        <v>0.98124999999999996</v>
      </c>
      <c r="G4">
        <v>3.0190368221227996E-2</v>
      </c>
      <c r="H4">
        <v>1</v>
      </c>
      <c r="I4">
        <v>0</v>
      </c>
      <c r="J4">
        <v>1</v>
      </c>
      <c r="K4">
        <v>0</v>
      </c>
      <c r="L4">
        <v>0.99032258064516121</v>
      </c>
      <c r="M4">
        <v>1.5582125533537073E-2</v>
      </c>
      <c r="N4">
        <v>0.98180093098831733</v>
      </c>
      <c r="O4">
        <v>2.9303285053132868E-2</v>
      </c>
      <c r="P4">
        <v>0.98124999999999984</v>
      </c>
      <c r="Q4">
        <v>3.0190368221227996E-2</v>
      </c>
      <c r="R4">
        <v>0.99980468749999996</v>
      </c>
      <c r="S4">
        <v>6.176323555016366E-4</v>
      </c>
      <c r="T4">
        <v>5.95942E-3</v>
      </c>
      <c r="U4">
        <v>0.18623187499999999</v>
      </c>
      <c r="V4" t="s">
        <v>68</v>
      </c>
    </row>
    <row r="5" spans="1:22" x14ac:dyDescent="0.25">
      <c r="A5" t="s">
        <v>42</v>
      </c>
      <c r="B5">
        <v>1</v>
      </c>
      <c r="D5">
        <v>1</v>
      </c>
      <c r="F5">
        <v>1</v>
      </c>
      <c r="H5">
        <v>1</v>
      </c>
      <c r="J5">
        <v>1</v>
      </c>
      <c r="L5">
        <v>1</v>
      </c>
      <c r="N5">
        <v>1</v>
      </c>
      <c r="P5">
        <v>0.99999999999999956</v>
      </c>
      <c r="R5">
        <v>1</v>
      </c>
      <c r="T5">
        <v>6.4999999999999997E-3</v>
      </c>
      <c r="U5">
        <v>8.1250000000000003E-2</v>
      </c>
      <c r="V5" t="s">
        <v>69</v>
      </c>
    </row>
    <row r="6" spans="1:22" x14ac:dyDescent="0.25">
      <c r="A6" t="s">
        <v>43</v>
      </c>
      <c r="B6">
        <v>0.97187500000000004</v>
      </c>
      <c r="C6">
        <v>2.3058274605394429E-2</v>
      </c>
      <c r="D6">
        <v>0.97187500000000004</v>
      </c>
      <c r="E6">
        <v>2.3058274605394429E-2</v>
      </c>
      <c r="F6">
        <v>0.95625000000000004</v>
      </c>
      <c r="G6">
        <v>4.2184284856909553E-2</v>
      </c>
      <c r="H6">
        <v>0.98750000000000004</v>
      </c>
      <c r="I6">
        <v>2.6352313834736494E-2</v>
      </c>
      <c r="J6">
        <v>0.98786764705882357</v>
      </c>
      <c r="K6">
        <v>2.5591920890008359E-2</v>
      </c>
      <c r="L6">
        <v>0.97114980449657862</v>
      </c>
      <c r="M6">
        <v>2.3823334008305327E-2</v>
      </c>
      <c r="N6">
        <v>0.94535992868268193</v>
      </c>
      <c r="O6">
        <v>4.4862179160028486E-2</v>
      </c>
      <c r="P6">
        <v>0.94374999999999987</v>
      </c>
      <c r="Q6">
        <v>4.6116549210788831E-2</v>
      </c>
      <c r="R6">
        <v>0.99628906250000004</v>
      </c>
      <c r="S6">
        <v>9.8498968077029014E-3</v>
      </c>
      <c r="T6">
        <v>2.223226E-2</v>
      </c>
      <c r="U6">
        <v>0.694758125</v>
      </c>
      <c r="V6" t="s">
        <v>70</v>
      </c>
    </row>
    <row r="7" spans="1:22" x14ac:dyDescent="0.25">
      <c r="A7" t="s">
        <v>44</v>
      </c>
      <c r="B7">
        <v>1</v>
      </c>
      <c r="D7">
        <v>1</v>
      </c>
      <c r="F7">
        <v>1</v>
      </c>
      <c r="H7">
        <v>1</v>
      </c>
      <c r="J7">
        <v>1</v>
      </c>
      <c r="L7">
        <v>1</v>
      </c>
      <c r="N7">
        <v>1</v>
      </c>
      <c r="P7">
        <v>0.99999999999999956</v>
      </c>
      <c r="R7">
        <v>1</v>
      </c>
      <c r="T7">
        <v>5.1368000000000004E-3</v>
      </c>
      <c r="U7">
        <v>6.4210000000000017E-2</v>
      </c>
      <c r="V7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3704-5138-45B3-A8E0-438678EED9B9}">
  <dimension ref="A1:S21"/>
  <sheetViews>
    <sheetView tabSelected="1" workbookViewId="0">
      <selection activeCell="H27" sqref="H27"/>
    </sheetView>
  </sheetViews>
  <sheetFormatPr defaultRowHeight="15" x14ac:dyDescent="0.25"/>
  <cols>
    <col min="1" max="1" width="60.85546875" bestFit="1" customWidth="1"/>
    <col min="2" max="19" width="14.4257812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23</v>
      </c>
      <c r="B2">
        <v>0.99687499999999996</v>
      </c>
      <c r="C2">
        <v>9.8821176880261822E-3</v>
      </c>
      <c r="D2">
        <v>0.99687499999999996</v>
      </c>
      <c r="E2">
        <v>9.8821176880261822E-3</v>
      </c>
      <c r="F2">
        <v>0.99375000000000002</v>
      </c>
      <c r="G2">
        <v>1.9764235376052368E-2</v>
      </c>
      <c r="H2">
        <v>1</v>
      </c>
      <c r="I2">
        <v>0</v>
      </c>
      <c r="J2">
        <v>1</v>
      </c>
      <c r="K2">
        <v>0</v>
      </c>
      <c r="L2">
        <v>0.99677419354838714</v>
      </c>
      <c r="M2">
        <v>1.020089567796254E-2</v>
      </c>
      <c r="N2">
        <v>0.99393364366277237</v>
      </c>
      <c r="O2">
        <v>1.9183503123835637E-2</v>
      </c>
      <c r="P2">
        <v>0.9937499999999998</v>
      </c>
      <c r="Q2">
        <v>1.9764235376052371E-2</v>
      </c>
      <c r="R2">
        <v>1</v>
      </c>
      <c r="S2">
        <v>0</v>
      </c>
    </row>
    <row r="3" spans="1:19" x14ac:dyDescent="0.25">
      <c r="A3" t="s">
        <v>24</v>
      </c>
      <c r="B3">
        <v>1</v>
      </c>
      <c r="D3">
        <v>1</v>
      </c>
      <c r="F3">
        <v>1</v>
      </c>
      <c r="H3">
        <v>1</v>
      </c>
      <c r="J3">
        <v>1</v>
      </c>
      <c r="L3">
        <v>1</v>
      </c>
      <c r="N3">
        <v>1</v>
      </c>
      <c r="P3">
        <v>0.99999999999999956</v>
      </c>
      <c r="R3">
        <v>1</v>
      </c>
    </row>
    <row r="4" spans="1:19" x14ac:dyDescent="0.25">
      <c r="A4" t="s">
        <v>25</v>
      </c>
      <c r="B4">
        <v>0.99062499999999998</v>
      </c>
      <c r="C4">
        <v>1.5095184110613998E-2</v>
      </c>
      <c r="D4">
        <v>0.99062499999999998</v>
      </c>
      <c r="E4">
        <v>1.5095184110613998E-2</v>
      </c>
      <c r="F4">
        <v>0.98124999999999996</v>
      </c>
      <c r="G4">
        <v>3.0190368221227996E-2</v>
      </c>
      <c r="H4">
        <v>1</v>
      </c>
      <c r="I4">
        <v>0</v>
      </c>
      <c r="J4">
        <v>1</v>
      </c>
      <c r="K4">
        <v>0</v>
      </c>
      <c r="L4">
        <v>0.99032258064516121</v>
      </c>
      <c r="M4">
        <v>1.5582125533537073E-2</v>
      </c>
      <c r="N4">
        <v>0.98180093098831733</v>
      </c>
      <c r="O4">
        <v>2.9303285053132868E-2</v>
      </c>
      <c r="P4">
        <v>0.98124999999999984</v>
      </c>
      <c r="Q4">
        <v>3.0190368221227996E-2</v>
      </c>
      <c r="R4">
        <v>0.99980468749999996</v>
      </c>
      <c r="S4">
        <v>6.176323555016366E-4</v>
      </c>
    </row>
    <row r="5" spans="1:19" x14ac:dyDescent="0.25">
      <c r="A5" t="s">
        <v>26</v>
      </c>
      <c r="B5">
        <v>1</v>
      </c>
      <c r="D5">
        <v>1</v>
      </c>
      <c r="F5">
        <v>1</v>
      </c>
      <c r="H5">
        <v>1</v>
      </c>
      <c r="J5">
        <v>1</v>
      </c>
      <c r="L5">
        <v>1</v>
      </c>
      <c r="N5">
        <v>1</v>
      </c>
      <c r="P5">
        <v>0.99999999999999956</v>
      </c>
      <c r="R5">
        <v>1</v>
      </c>
    </row>
    <row r="6" spans="1:19" x14ac:dyDescent="0.25">
      <c r="A6" t="s">
        <v>27</v>
      </c>
      <c r="B6">
        <v>0.97187500000000004</v>
      </c>
      <c r="C6">
        <v>2.3058274605394429E-2</v>
      </c>
      <c r="D6">
        <v>0.97187500000000004</v>
      </c>
      <c r="E6">
        <v>2.3058274605394429E-2</v>
      </c>
      <c r="F6">
        <v>0.95625000000000004</v>
      </c>
      <c r="G6">
        <v>4.2184284856909553E-2</v>
      </c>
      <c r="H6">
        <v>0.98750000000000004</v>
      </c>
      <c r="I6">
        <v>2.6352313834736494E-2</v>
      </c>
      <c r="J6">
        <v>0.98786764705882357</v>
      </c>
      <c r="K6">
        <v>2.5591920890008359E-2</v>
      </c>
      <c r="L6">
        <v>0.97114980449657862</v>
      </c>
      <c r="M6">
        <v>2.3823334008305327E-2</v>
      </c>
      <c r="N6">
        <v>0.94535992868268193</v>
      </c>
      <c r="O6">
        <v>4.4862179160028486E-2</v>
      </c>
      <c r="P6">
        <v>0.94374999999999987</v>
      </c>
      <c r="Q6">
        <v>4.6116549210788831E-2</v>
      </c>
      <c r="R6">
        <v>0.99628906250000004</v>
      </c>
      <c r="S6">
        <v>9.8498968077029014E-3</v>
      </c>
    </row>
    <row r="7" spans="1:19" x14ac:dyDescent="0.25">
      <c r="A7" t="s">
        <v>28</v>
      </c>
      <c r="B7">
        <v>1</v>
      </c>
      <c r="D7">
        <v>1</v>
      </c>
      <c r="F7">
        <v>1</v>
      </c>
      <c r="H7">
        <v>1</v>
      </c>
      <c r="J7">
        <v>1</v>
      </c>
      <c r="L7">
        <v>1</v>
      </c>
      <c r="N7">
        <v>1</v>
      </c>
      <c r="P7">
        <v>0.99999999999999956</v>
      </c>
      <c r="R7">
        <v>1</v>
      </c>
    </row>
    <row r="9" spans="1:19" x14ac:dyDescent="0.25">
      <c r="B9" t="str">
        <f>TEXT(B2,"0.0000") &amp; " ± " &amp; TEXT(C2,"0.0000")</f>
        <v>0.9969 ± 0.0099</v>
      </c>
      <c r="C9" t="str">
        <f t="shared" ref="C9:S13" si="0">TEXT(C2,"0.0000") &amp; " ± " &amp; TEXT(D2,"0.0000")</f>
        <v>0.0099 ± 0.9969</v>
      </c>
      <c r="D9" t="str">
        <f t="shared" si="0"/>
        <v>0.9969 ± 0.0099</v>
      </c>
      <c r="E9" t="str">
        <f t="shared" si="0"/>
        <v>0.0099 ± 0.9938</v>
      </c>
      <c r="F9" t="str">
        <f t="shared" si="0"/>
        <v>0.9938 ± 0.0198</v>
      </c>
      <c r="G9" t="str">
        <f t="shared" si="0"/>
        <v>0.0198 ± 1.0000</v>
      </c>
      <c r="H9" t="str">
        <f t="shared" si="0"/>
        <v>1.0000 ± 0.0000</v>
      </c>
      <c r="I9" t="str">
        <f t="shared" si="0"/>
        <v>0.0000 ± 1.0000</v>
      </c>
      <c r="J9" t="str">
        <f t="shared" si="0"/>
        <v>1.0000 ± 0.0000</v>
      </c>
      <c r="K9" t="str">
        <f t="shared" si="0"/>
        <v>0.0000 ± 0.9968</v>
      </c>
      <c r="L9" t="str">
        <f t="shared" si="0"/>
        <v>0.9968 ± 0.0102</v>
      </c>
      <c r="M9" t="str">
        <f t="shared" si="0"/>
        <v>0.0102 ± 0.9939</v>
      </c>
      <c r="N9" t="str">
        <f t="shared" si="0"/>
        <v>0.9939 ± 0.0192</v>
      </c>
      <c r="O9" t="str">
        <f t="shared" si="0"/>
        <v>0.0192 ± 0.9938</v>
      </c>
      <c r="P9" t="str">
        <f t="shared" si="0"/>
        <v>0.9938 ± 0.0198</v>
      </c>
      <c r="Q9" t="str">
        <f t="shared" si="0"/>
        <v>0.0198 ± 1.0000</v>
      </c>
      <c r="R9" t="str">
        <f t="shared" si="0"/>
        <v>1.0000 ± 0.0000</v>
      </c>
      <c r="S9" t="str">
        <f t="shared" si="0"/>
        <v>0.0000 ± 0.0000</v>
      </c>
    </row>
    <row r="10" spans="1:19" x14ac:dyDescent="0.25">
      <c r="B10" t="str">
        <f t="shared" ref="B10:Q13" si="1">TEXT(B3,"0.0000") &amp; " ± " &amp; TEXT(C3,"0.0000")</f>
        <v>1.0000 ± 0.0000</v>
      </c>
      <c r="C10" t="str">
        <f t="shared" si="1"/>
        <v>0.0000 ± 1.0000</v>
      </c>
      <c r="D10" t="str">
        <f t="shared" si="1"/>
        <v>1.0000 ± 0.0000</v>
      </c>
      <c r="E10" t="str">
        <f t="shared" si="1"/>
        <v>0.0000 ± 1.0000</v>
      </c>
      <c r="F10" t="str">
        <f t="shared" si="1"/>
        <v>1.0000 ± 0.0000</v>
      </c>
      <c r="G10" t="str">
        <f t="shared" si="1"/>
        <v>0.0000 ± 1.0000</v>
      </c>
      <c r="H10" t="str">
        <f t="shared" si="1"/>
        <v>1.0000 ± 0.0000</v>
      </c>
      <c r="I10" t="str">
        <f t="shared" si="1"/>
        <v>0.0000 ± 1.0000</v>
      </c>
      <c r="J10" t="str">
        <f t="shared" si="1"/>
        <v>1.0000 ± 0.0000</v>
      </c>
      <c r="K10" t="str">
        <f t="shared" si="1"/>
        <v>0.0000 ± 1.0000</v>
      </c>
      <c r="L10" t="str">
        <f t="shared" si="1"/>
        <v>1.0000 ± 0.0000</v>
      </c>
      <c r="M10" t="str">
        <f t="shared" si="1"/>
        <v>0.0000 ± 1.0000</v>
      </c>
      <c r="N10" t="str">
        <f t="shared" si="1"/>
        <v>1.0000 ± 0.0000</v>
      </c>
      <c r="O10" t="str">
        <f t="shared" si="1"/>
        <v>0.0000 ± 1.0000</v>
      </c>
      <c r="P10" t="str">
        <f t="shared" si="1"/>
        <v>1.0000 ± 0.0000</v>
      </c>
      <c r="Q10" t="str">
        <f t="shared" si="1"/>
        <v>0.0000 ± 1.0000</v>
      </c>
      <c r="R10" t="str">
        <f t="shared" si="0"/>
        <v>1.0000 ± 0.0000</v>
      </c>
      <c r="S10" t="str">
        <f t="shared" si="0"/>
        <v>0.0000 ± 0.0000</v>
      </c>
    </row>
    <row r="11" spans="1:19" x14ac:dyDescent="0.25">
      <c r="B11" t="str">
        <f t="shared" si="1"/>
        <v>0.9906 ± 0.0151</v>
      </c>
      <c r="C11" t="str">
        <f t="shared" si="0"/>
        <v>0.0151 ± 0.9906</v>
      </c>
      <c r="D11" t="str">
        <f t="shared" si="0"/>
        <v>0.9906 ± 0.0151</v>
      </c>
      <c r="E11" t="str">
        <f t="shared" si="0"/>
        <v>0.0151 ± 0.9813</v>
      </c>
      <c r="F11" t="str">
        <f t="shared" si="0"/>
        <v>0.9813 ± 0.0302</v>
      </c>
      <c r="G11" t="str">
        <f t="shared" si="0"/>
        <v>0.0302 ± 1.0000</v>
      </c>
      <c r="H11" t="str">
        <f t="shared" si="0"/>
        <v>1.0000 ± 0.0000</v>
      </c>
      <c r="I11" t="str">
        <f t="shared" si="0"/>
        <v>0.0000 ± 1.0000</v>
      </c>
      <c r="J11" t="str">
        <f t="shared" si="0"/>
        <v>1.0000 ± 0.0000</v>
      </c>
      <c r="K11" t="str">
        <f t="shared" si="0"/>
        <v>0.0000 ± 0.9903</v>
      </c>
      <c r="L11" t="str">
        <f t="shared" si="0"/>
        <v>0.9903 ± 0.0156</v>
      </c>
      <c r="M11" t="str">
        <f t="shared" si="0"/>
        <v>0.0156 ± 0.9818</v>
      </c>
      <c r="N11" t="str">
        <f t="shared" si="0"/>
        <v>0.9818 ± 0.0293</v>
      </c>
      <c r="O11" t="str">
        <f t="shared" si="0"/>
        <v>0.0293 ± 0.9813</v>
      </c>
      <c r="P11" t="str">
        <f t="shared" si="0"/>
        <v>0.9813 ± 0.0302</v>
      </c>
      <c r="Q11" t="str">
        <f t="shared" si="0"/>
        <v>0.0302 ± 0.9998</v>
      </c>
      <c r="R11" t="str">
        <f t="shared" si="0"/>
        <v>0.9998 ± 0.0006</v>
      </c>
      <c r="S11" t="str">
        <f t="shared" si="0"/>
        <v>0.0006 ± 0.0000</v>
      </c>
    </row>
    <row r="12" spans="1:19" x14ac:dyDescent="0.25">
      <c r="B12" t="str">
        <f t="shared" si="1"/>
        <v>1.0000 ± 0.0000</v>
      </c>
      <c r="C12" t="str">
        <f t="shared" si="0"/>
        <v>0.0000 ± 1.0000</v>
      </c>
      <c r="D12" t="str">
        <f t="shared" si="0"/>
        <v>1.0000 ± 0.0000</v>
      </c>
      <c r="E12" t="str">
        <f t="shared" si="0"/>
        <v>0.0000 ± 1.0000</v>
      </c>
      <c r="F12" t="str">
        <f t="shared" si="0"/>
        <v>1.0000 ± 0.0000</v>
      </c>
      <c r="G12" t="str">
        <f t="shared" si="0"/>
        <v>0.0000 ± 1.0000</v>
      </c>
      <c r="H12" t="str">
        <f t="shared" si="0"/>
        <v>1.0000 ± 0.0000</v>
      </c>
      <c r="I12" t="str">
        <f t="shared" si="0"/>
        <v>0.0000 ± 1.0000</v>
      </c>
      <c r="J12" t="str">
        <f t="shared" si="0"/>
        <v>1.0000 ± 0.0000</v>
      </c>
      <c r="K12" t="str">
        <f t="shared" si="0"/>
        <v>0.0000 ± 1.0000</v>
      </c>
      <c r="L12" t="str">
        <f t="shared" si="0"/>
        <v>1.0000 ± 0.0000</v>
      </c>
      <c r="M12" t="str">
        <f t="shared" si="0"/>
        <v>0.0000 ± 1.0000</v>
      </c>
      <c r="N12" t="str">
        <f t="shared" si="0"/>
        <v>1.0000 ± 0.0000</v>
      </c>
      <c r="O12" t="str">
        <f t="shared" si="0"/>
        <v>0.0000 ± 1.0000</v>
      </c>
      <c r="P12" t="str">
        <f t="shared" si="0"/>
        <v>1.0000 ± 0.0000</v>
      </c>
      <c r="Q12" t="str">
        <f t="shared" si="0"/>
        <v>0.0000 ± 1.0000</v>
      </c>
      <c r="R12" t="str">
        <f t="shared" si="0"/>
        <v>1.0000 ± 0.0000</v>
      </c>
      <c r="S12" t="str">
        <f t="shared" si="0"/>
        <v>0.0000 ± 0.0000</v>
      </c>
    </row>
    <row r="13" spans="1:19" x14ac:dyDescent="0.25">
      <c r="B13" t="str">
        <f t="shared" si="1"/>
        <v>0.9719 ± 0.0231</v>
      </c>
      <c r="C13" t="str">
        <f t="shared" si="0"/>
        <v>0.0231 ± 0.9719</v>
      </c>
      <c r="D13" t="str">
        <f t="shared" si="0"/>
        <v>0.9719 ± 0.0231</v>
      </c>
      <c r="E13" t="str">
        <f t="shared" si="0"/>
        <v>0.0231 ± 0.9563</v>
      </c>
      <c r="F13" t="str">
        <f t="shared" si="0"/>
        <v>0.9563 ± 0.0422</v>
      </c>
      <c r="G13" t="str">
        <f t="shared" si="0"/>
        <v>0.0422 ± 0.9875</v>
      </c>
      <c r="H13" t="str">
        <f t="shared" si="0"/>
        <v>0.9875 ± 0.0264</v>
      </c>
      <c r="I13" t="str">
        <f t="shared" si="0"/>
        <v>0.0264 ± 0.9879</v>
      </c>
      <c r="J13" t="str">
        <f t="shared" si="0"/>
        <v>0.9879 ± 0.0256</v>
      </c>
      <c r="K13" t="str">
        <f t="shared" si="0"/>
        <v>0.0256 ± 0.9711</v>
      </c>
      <c r="L13" t="str">
        <f t="shared" si="0"/>
        <v>0.9711 ± 0.0238</v>
      </c>
      <c r="M13" t="str">
        <f t="shared" si="0"/>
        <v>0.0238 ± 0.9454</v>
      </c>
      <c r="N13" t="str">
        <f t="shared" si="0"/>
        <v>0.9454 ± 0.0449</v>
      </c>
      <c r="O13" t="str">
        <f t="shared" si="0"/>
        <v>0.0449 ± 0.9438</v>
      </c>
      <c r="P13" t="str">
        <f t="shared" si="0"/>
        <v>0.9438 ± 0.0461</v>
      </c>
      <c r="Q13" t="str">
        <f t="shared" si="0"/>
        <v>0.0461 ± 0.9963</v>
      </c>
      <c r="R13" t="str">
        <f t="shared" si="0"/>
        <v>0.9963 ± 0.0098</v>
      </c>
      <c r="S13" t="str">
        <f t="shared" si="0"/>
        <v>0.0098 ± 0.0000</v>
      </c>
    </row>
    <row r="14" spans="1:19" x14ac:dyDescent="0.25">
      <c r="B14" t="str">
        <f>TEXT(B7,"0.0000") &amp; " ± " &amp; TEXT(C7,"0.0000")</f>
        <v>1.0000 ± 0.0000</v>
      </c>
      <c r="C14" t="str">
        <f t="shared" ref="C14:S14" si="2">TEXT(C7,"0.0000") &amp; " ± " &amp; TEXT(D7,"0.0000")</f>
        <v>0.0000 ± 1.0000</v>
      </c>
      <c r="D14" t="str">
        <f t="shared" si="2"/>
        <v>1.0000 ± 0.0000</v>
      </c>
      <c r="E14" t="str">
        <f t="shared" si="2"/>
        <v>0.0000 ± 1.0000</v>
      </c>
      <c r="F14" t="str">
        <f t="shared" si="2"/>
        <v>1.0000 ± 0.0000</v>
      </c>
      <c r="G14" t="str">
        <f t="shared" si="2"/>
        <v>0.0000 ± 1.0000</v>
      </c>
      <c r="H14" t="str">
        <f t="shared" si="2"/>
        <v>1.0000 ± 0.0000</v>
      </c>
      <c r="I14" t="str">
        <f t="shared" si="2"/>
        <v>0.0000 ± 1.0000</v>
      </c>
      <c r="J14" t="str">
        <f t="shared" si="2"/>
        <v>1.0000 ± 0.0000</v>
      </c>
      <c r="K14" t="str">
        <f t="shared" si="2"/>
        <v>0.0000 ± 1.0000</v>
      </c>
      <c r="L14" t="str">
        <f t="shared" si="2"/>
        <v>1.0000 ± 0.0000</v>
      </c>
      <c r="M14" t="str">
        <f t="shared" si="2"/>
        <v>0.0000 ± 1.0000</v>
      </c>
      <c r="N14" t="str">
        <f t="shared" si="2"/>
        <v>1.0000 ± 0.0000</v>
      </c>
      <c r="O14" t="str">
        <f t="shared" si="2"/>
        <v>0.0000 ± 1.0000</v>
      </c>
      <c r="P14" t="str">
        <f t="shared" si="2"/>
        <v>1.0000 ± 0.0000</v>
      </c>
      <c r="Q14" t="str">
        <f t="shared" si="2"/>
        <v>0.0000 ± 1.0000</v>
      </c>
      <c r="R14" t="str">
        <f t="shared" si="2"/>
        <v>1.0000 ± 0.0000</v>
      </c>
      <c r="S14" t="str">
        <f t="shared" si="2"/>
        <v>0.0000 ± 0.0000</v>
      </c>
    </row>
    <row r="16" spans="1:19" x14ac:dyDescent="0.25">
      <c r="D16" t="s">
        <v>72</v>
      </c>
      <c r="E16" t="s">
        <v>76</v>
      </c>
      <c r="F16" t="s">
        <v>73</v>
      </c>
      <c r="G16" t="s">
        <v>73</v>
      </c>
      <c r="H16" t="s">
        <v>81</v>
      </c>
      <c r="I16" t="s">
        <v>84</v>
      </c>
      <c r="J16" t="s">
        <v>76</v>
      </c>
      <c r="K16" t="s">
        <v>73</v>
      </c>
    </row>
    <row r="17" spans="4:11" x14ac:dyDescent="0.25"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 t="s">
        <v>73</v>
      </c>
      <c r="J17" t="s">
        <v>73</v>
      </c>
      <c r="K17" t="s">
        <v>73</v>
      </c>
    </row>
    <row r="18" spans="4:11" x14ac:dyDescent="0.25">
      <c r="D18" t="s">
        <v>74</v>
      </c>
      <c r="E18" t="s">
        <v>77</v>
      </c>
      <c r="F18" t="s">
        <v>73</v>
      </c>
      <c r="G18" t="s">
        <v>73</v>
      </c>
      <c r="H18" t="s">
        <v>82</v>
      </c>
      <c r="I18" t="s">
        <v>85</v>
      </c>
      <c r="J18" t="s">
        <v>77</v>
      </c>
      <c r="K18" t="s">
        <v>88</v>
      </c>
    </row>
    <row r="19" spans="4:11" x14ac:dyDescent="0.25"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 t="s">
        <v>73</v>
      </c>
      <c r="J19" t="s">
        <v>73</v>
      </c>
      <c r="K19" t="s">
        <v>73</v>
      </c>
    </row>
    <row r="20" spans="4:11" x14ac:dyDescent="0.25">
      <c r="D20" t="s">
        <v>75</v>
      </c>
      <c r="E20" t="s">
        <v>78</v>
      </c>
      <c r="F20" t="s">
        <v>79</v>
      </c>
      <c r="G20" t="s">
        <v>80</v>
      </c>
      <c r="H20" t="s">
        <v>83</v>
      </c>
      <c r="I20" t="s">
        <v>86</v>
      </c>
      <c r="J20" t="s">
        <v>87</v>
      </c>
      <c r="K20" t="s">
        <v>89</v>
      </c>
    </row>
    <row r="21" spans="4:11" x14ac:dyDescent="0.25"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CV_MeanSD</vt:lpstr>
      <vt:lpstr>CV_test_Mean</vt:lpstr>
      <vt:lpstr>pub_results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2026-10-15T14:08:20Z</dcterms:modified>
</cp:coreProperties>
</file>