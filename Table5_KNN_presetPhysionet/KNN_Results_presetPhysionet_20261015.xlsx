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MATLAB files\Matlab files - GeMAPS paper\Second Revision - GeMAPS\Table5_KNN_presetPhysionet\"/>
    </mc:Choice>
  </mc:AlternateContent>
  <xr:revisionPtr revIDLastSave="0" documentId="13_ncr:1_{E29CAF23-BFB1-4B5C-B6AD-3D84105A6F3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V_MeanSD" sheetId="2" r:id="rId1"/>
    <sheet name="CV_test_Mean" sheetId="3" r:id="rId2"/>
    <sheet name="pub_results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5" l="1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B10" i="5"/>
  <c r="B11" i="5"/>
  <c r="B12" i="5"/>
  <c r="B13" i="5"/>
  <c r="B14" i="5"/>
  <c r="B9" i="5"/>
</calcChain>
</file>

<file path=xl/sharedStrings.xml><?xml version="1.0" encoding="utf-8"?>
<sst xmlns="http://schemas.openxmlformats.org/spreadsheetml/2006/main" count="145" uniqueCount="119">
  <si>
    <t>filename</t>
  </si>
  <si>
    <t>withoutSFFS_GeMAPS_preset_Physionet_20261015_180000</t>
  </si>
  <si>
    <t>withoutSFFS_combined_preset_Physionet_20261015_180035</t>
  </si>
  <si>
    <t>withoutSFFS_shen_preset_Physionet_20261015_111945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</si>
  <si>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</si>
  <si>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</si>
  <si>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</si>
  <si>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</si>
  <si>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</si>
  <si>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</si>
  <si>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</si>
  <si>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</si>
  <si>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</si>
  <si>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</si>
  <si>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</si>
  <si>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</si>
  <si>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</si>
  <si>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</si>
  <si>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</si>
  <si>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</si>
  <si>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</si>
  <si>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</si>
  <si>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filename</t>
  </si>
  <si>
    <t>withoutSFFS_GeMAPS_preset_Physionet_20261015_180000_CV</t>
  </si>
  <si>
    <t>withoutSFFS_GeMAPS_preset_Physionet_20261015_180000_Test</t>
  </si>
  <si>
    <t>withoutSFFS_combined_preset_Physionet_20261015_180035_CV</t>
  </si>
  <si>
    <t>withoutSFFS_combined_preset_Physionet_20261015_180035_Test</t>
  </si>
  <si>
    <t>withoutSFFS_shen_preset_Physionet_20261015_111945_CV</t>
  </si>
  <si>
    <t>withoutSFFS_shen_preset_Physionet_20261015_111945_Test</t>
  </si>
  <si>
    <t>mean_balancedAcc</t>
  </si>
  <si>
    <t>mean_accuracy</t>
  </si>
  <si>
    <t>mean_sensitivity</t>
  </si>
  <si>
    <t>mean_specificity</t>
  </si>
  <si>
    <t>mean_precision</t>
  </si>
  <si>
    <t>mean_f1</t>
  </si>
  <si>
    <t>mean_mcc</t>
  </si>
  <si>
    <t>mean_kappa</t>
  </si>
  <si>
    <t>mean_auc</t>
  </si>
  <si>
    <t>filename</t>
  </si>
  <si>
    <t>withoutSFFS_GeMAPS_preset_Physionet_20261015_180000_CV</t>
  </si>
  <si>
    <t>withoutSFFS_GeMAPS_preset_Physionet_20261015_180000_Test</t>
  </si>
  <si>
    <t>withoutSFFS_combined_preset_Physionet_20261015_180035_CV</t>
  </si>
  <si>
    <t>withoutSFFS_combined_preset_Physionet_20261015_180035_Test</t>
  </si>
  <si>
    <t>withoutSFFS_shen_preset_Physionet_20261015_111945_CV</t>
  </si>
  <si>
    <t>withoutSFFS_shen_preset_Physionet_20261015_111945_Test</t>
  </si>
  <si>
    <t>mean_balancedAcc</t>
  </si>
  <si>
    <t>std_balancedAcc</t>
  </si>
  <si>
    <t>mean_accuracy</t>
  </si>
  <si>
    <t>std_accuracy</t>
  </si>
  <si>
    <t>mean_sensitivity</t>
  </si>
  <si>
    <t>std_sensitivity</t>
  </si>
  <si>
    <t>mean_specificity</t>
  </si>
  <si>
    <t>std_specificity</t>
  </si>
  <si>
    <t>mean_precision</t>
  </si>
  <si>
    <t>std_precision</t>
  </si>
  <si>
    <t>mean_f1</t>
  </si>
  <si>
    <t>std_f1</t>
  </si>
  <si>
    <t>mean_mcc</t>
  </si>
  <si>
    <t>std_mcc</t>
  </si>
  <si>
    <t>mean_kappa</t>
  </si>
  <si>
    <t>std_kappa</t>
  </si>
  <si>
    <t>mean_auc</t>
  </si>
  <si>
    <t>std_auc</t>
  </si>
  <si>
    <t>totalInferenceTime_s</t>
  </si>
  <si>
    <t>avgInferenceTime_ms</t>
  </si>
  <si>
    <t>confMat</t>
  </si>
  <si>
    <t>TN=1609, FP=235, FN=135, TP=323</t>
  </si>
  <si>
    <t>TN=420, FP=40, FN=48, TP=66</t>
  </si>
  <si>
    <t>TN=1640, FP=204, FN=134, TP=324</t>
  </si>
  <si>
    <t>TN=432, FP=28, FN=48, TP=66</t>
  </si>
  <si>
    <t>TN=1616, FP=228, FN=142, TP=316</t>
  </si>
  <si>
    <t>TN=436, FP=24, FN=59, TP=55</t>
  </si>
  <si>
    <t>0.7832 ± 0.0309</t>
  </si>
  <si>
    <t>0.7151 ± 0.0000</t>
  </si>
  <si>
    <t>0.7890 ± 0.0358</t>
  </si>
  <si>
    <t>0.7460 ± 0.0000</t>
  </si>
  <si>
    <t>0.7983 ± 0.0296</t>
  </si>
  <si>
    <t>0.7590 ± 0.0000</t>
  </si>
  <si>
    <t>0.6901 ± 0.0648</t>
  </si>
  <si>
    <t>0.4825 ± 0.0000</t>
  </si>
  <si>
    <t>0.7054 ± 0.0764</t>
  </si>
  <si>
    <t>0.5789 ± 0.0000</t>
  </si>
  <si>
    <t>0.7073 ± 0.0447</t>
  </si>
  <si>
    <t>0.8764 ± 0.0177</t>
  </si>
  <si>
    <t>0.9478 ± 0.0000</t>
  </si>
  <si>
    <t>0.8726 ± 0.0256</t>
  </si>
  <si>
    <t>0.9130 ± 0.0000</t>
  </si>
  <si>
    <t>0.8893 ± 0.0211</t>
  </si>
  <si>
    <t>0.9391 ± 0.0000</t>
  </si>
  <si>
    <t>0.5819 ± 0.0375</t>
  </si>
  <si>
    <t>0.6962 ± 0.0000</t>
  </si>
  <si>
    <t>0.5811 ± 0.0461</t>
  </si>
  <si>
    <t>0.6226 ± 0.0000</t>
  </si>
  <si>
    <t>0.6157 ± 0.0573</t>
  </si>
  <si>
    <t>0.7021 ± 0.0000</t>
  </si>
  <si>
    <t>0.6302 ± 0.0390</t>
  </si>
  <si>
    <t>0.5699 ± 0.0000</t>
  </si>
  <si>
    <t>0.6350 ± 0.0485</t>
  </si>
  <si>
    <t>0.6000 ± 0.0000</t>
  </si>
  <si>
    <t>0.6578 ± 0.0488</t>
  </si>
  <si>
    <t>0.6346 ± 0.0000</t>
  </si>
  <si>
    <t>0.5327 ± 0.0505</t>
  </si>
  <si>
    <t>0.4983 ± 0.0000</t>
  </si>
  <si>
    <t>0.5393 ± 0.0590</t>
  </si>
  <si>
    <t>0.5058 ± 0.0000</t>
  </si>
  <si>
    <t>0.5676 ± 0.0625</t>
  </si>
  <si>
    <t>0.5585 ± 0.0000</t>
  </si>
  <si>
    <t>0.5286 ± 0.0485</t>
  </si>
  <si>
    <t>0.4865 ± 0.0000</t>
  </si>
  <si>
    <t>0.5336 ± 0.0594</t>
  </si>
  <si>
    <t>0.5053 ± 0.0000</t>
  </si>
  <si>
    <t>0.5650 ± 0.0632</t>
  </si>
  <si>
    <t>0.5547 ± 0.0000</t>
  </si>
  <si>
    <t>0.8889 ± 0.0223</t>
  </si>
  <si>
    <t>0.9033 ± 0.0000</t>
  </si>
  <si>
    <t>0.8812 ± 0.0291</t>
  </si>
  <si>
    <t>0.8691 ± 0.0000</t>
  </si>
  <si>
    <t>0.9048 ± 0.0202</t>
  </si>
  <si>
    <t>0.9088 ± 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</si>
</sst>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workbookViewId="0">
      <selection activeCell="A2" sqref="A2:XFD2"/>
    </sheetView>
  </sheetViews>
  <sheetFormatPr defaultRowHeight="15" x14ac:dyDescent="0.25"/>
  <cols>
    <col min="1" max="1" width="54.5703125" customWidth="1"/>
    <col min="2" max="2" width="18.140625" customWidth="1"/>
    <col min="3" max="3" width="15.85546875" customWidth="1"/>
    <col min="4" max="4" width="14.5703125" customWidth="1"/>
    <col min="5" max="5" width="13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1</v>
      </c>
      <c r="B2">
        <v>0.78896788092440273</v>
      </c>
      <c r="C2">
        <v>3.5770130003148777E-2</v>
      </c>
      <c r="D2">
        <v>0.83926218708827405</v>
      </c>
      <c r="E2">
        <v>2.0759560016917561E-2</v>
      </c>
      <c r="F2">
        <v>0.70536231884057976</v>
      </c>
      <c r="G2">
        <v>7.6380955227156738E-2</v>
      </c>
      <c r="H2">
        <v>0.8725734430082257</v>
      </c>
      <c r="I2">
        <v>2.5641226785874126E-2</v>
      </c>
      <c r="J2">
        <v>0.58111473223452648</v>
      </c>
      <c r="K2">
        <v>4.6073510090737048E-2</v>
      </c>
      <c r="L2">
        <v>0.63503295163024231</v>
      </c>
      <c r="M2">
        <v>4.8459564599013516E-2</v>
      </c>
      <c r="N2">
        <v>0.53932665629970744</v>
      </c>
      <c r="O2">
        <v>5.9007068762421622E-2</v>
      </c>
      <c r="P2">
        <v>0.53362199769619767</v>
      </c>
      <c r="Q2">
        <v>5.9373060548269477E-2</v>
      </c>
      <c r="R2">
        <v>0.88115313257491901</v>
      </c>
      <c r="S2">
        <v>2.9068885867080688E-2</v>
      </c>
    </row>
    <row r="3" spans="1:19" x14ac:dyDescent="0.25">
      <c r="A3" t="s">
        <v>2</v>
      </c>
      <c r="B3">
        <v>0.79831978717848284</v>
      </c>
      <c r="C3">
        <v>2.963727140861222E-2</v>
      </c>
      <c r="D3">
        <v>0.85313570487483525</v>
      </c>
      <c r="E3">
        <v>2.3076021865384305E-2</v>
      </c>
      <c r="F3">
        <v>0.70729468599033818</v>
      </c>
      <c r="G3">
        <v>4.4673410772339182E-2</v>
      </c>
      <c r="H3">
        <v>0.88934488836662751</v>
      </c>
      <c r="I3">
        <v>2.107162284222569E-2</v>
      </c>
      <c r="J3">
        <v>0.61570370320443335</v>
      </c>
      <c r="K3">
        <v>5.7291753527021656E-2</v>
      </c>
      <c r="L3">
        <v>0.65776406137111609</v>
      </c>
      <c r="M3">
        <v>4.8763859090755625E-2</v>
      </c>
      <c r="N3">
        <v>0.56755491948683234</v>
      </c>
      <c r="O3">
        <v>6.2455429226883241E-2</v>
      </c>
      <c r="P3">
        <v>0.5649757058524878</v>
      </c>
      <c r="Q3">
        <v>6.3249182045013716E-2</v>
      </c>
      <c r="R3">
        <v>0.90476724739862746</v>
      </c>
      <c r="S3">
        <v>2.0242137191155921E-2</v>
      </c>
    </row>
    <row r="4" spans="1:19" x14ac:dyDescent="0.25">
      <c r="A4" t="s">
        <v>3</v>
      </c>
      <c r="B4">
        <v>0.78322839143491318</v>
      </c>
      <c r="C4">
        <v>3.088668597469809E-2</v>
      </c>
      <c r="D4">
        <v>0.83926595143986449</v>
      </c>
      <c r="E4">
        <v>1.6050026675574459E-2</v>
      </c>
      <c r="F4">
        <v>0.69009661835748792</v>
      </c>
      <c r="G4">
        <v>6.4755626549101497E-2</v>
      </c>
      <c r="H4">
        <v>0.87636016451233834</v>
      </c>
      <c r="I4">
        <v>1.7655685871064641E-2</v>
      </c>
      <c r="J4">
        <v>0.58190359569630812</v>
      </c>
      <c r="K4">
        <v>3.7536237986356052E-2</v>
      </c>
      <c r="L4">
        <v>0.63016868716995</v>
      </c>
      <c r="M4">
        <v>3.9011573820099781E-2</v>
      </c>
      <c r="N4">
        <v>0.53270149181610971</v>
      </c>
      <c r="O4">
        <v>5.0460124165640656E-2</v>
      </c>
      <c r="P4">
        <v>0.52860489329127403</v>
      </c>
      <c r="Q4">
        <v>4.8485994954263811E-2</v>
      </c>
      <c r="R4">
        <v>0.88890119112496246</v>
      </c>
      <c r="S4">
        <v>2.2307983732940285E-2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A2" sqref="A2:XFD3"/>
    </sheetView>
  </sheetViews>
  <sheetFormatPr defaultRowHeight="15" x14ac:dyDescent="0.25"/>
  <cols>
    <col min="1" max="1" width="59.28515625" customWidth="1"/>
    <col min="2" max="2" width="18.140625" customWidth="1"/>
    <col min="3" max="3" width="14.5703125" customWidth="1"/>
    <col min="4" max="4" width="16.28515625" customWidth="1"/>
    <col min="5" max="5" width="16.140625" customWidth="1"/>
    <col min="6" max="6" width="15.28515625" customWidth="1"/>
    <col min="7" max="10" width="12.7109375" customWidth="1"/>
  </cols>
  <sheetData>
    <row r="1" spans="1:10" x14ac:dyDescent="0.25">
      <c r="A1" t="s">
        <v>22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 x14ac:dyDescent="0.25">
      <c r="A2" t="s">
        <v>23</v>
      </c>
      <c r="B2">
        <v>0.78896788092440273</v>
      </c>
      <c r="C2">
        <v>0.83926218708827405</v>
      </c>
      <c r="D2">
        <v>0.70536231884057976</v>
      </c>
      <c r="E2">
        <v>0.8725734430082257</v>
      </c>
      <c r="F2">
        <v>0.58111473223452648</v>
      </c>
      <c r="G2">
        <v>0.63503295163024231</v>
      </c>
      <c r="H2">
        <v>0.53932665629970744</v>
      </c>
      <c r="I2">
        <v>0.53362199769619767</v>
      </c>
      <c r="J2">
        <v>0.88115313257491901</v>
      </c>
    </row>
    <row r="3" spans="1:10" x14ac:dyDescent="0.25">
      <c r="A3" t="s">
        <v>24</v>
      </c>
      <c r="B3">
        <v>0.74599542334096114</v>
      </c>
      <c r="C3">
        <v>0.84668989547038331</v>
      </c>
      <c r="D3">
        <v>0.57894736842105265</v>
      </c>
      <c r="E3">
        <v>0.91304347826086951</v>
      </c>
      <c r="F3">
        <v>0.62264150943396224</v>
      </c>
      <c r="G3">
        <v>0.59999999999999987</v>
      </c>
      <c r="H3">
        <v>0.50583922717207375</v>
      </c>
      <c r="I3">
        <v>0.50532748354747703</v>
      </c>
      <c r="J3">
        <v>0.8690598779557589</v>
      </c>
    </row>
    <row r="4" spans="1:10" x14ac:dyDescent="0.25">
      <c r="A4" t="s">
        <v>25</v>
      </c>
      <c r="B4">
        <v>0.79831978717848284</v>
      </c>
      <c r="C4">
        <v>0.85313570487483525</v>
      </c>
      <c r="D4">
        <v>0.70729468599033818</v>
      </c>
      <c r="E4">
        <v>0.88934488836662751</v>
      </c>
      <c r="F4">
        <v>0.61570370320443335</v>
      </c>
      <c r="G4">
        <v>0.65776406137111609</v>
      </c>
      <c r="H4">
        <v>0.56755491948683234</v>
      </c>
      <c r="I4">
        <v>0.5649757058524878</v>
      </c>
      <c r="J4">
        <v>0.90476724739862746</v>
      </c>
    </row>
    <row r="5" spans="1:10" x14ac:dyDescent="0.25">
      <c r="A5" t="s">
        <v>26</v>
      </c>
      <c r="B5">
        <v>0.75903890160183063</v>
      </c>
      <c r="C5">
        <v>0.86759581881533099</v>
      </c>
      <c r="D5">
        <v>0.57894736842105265</v>
      </c>
      <c r="E5">
        <v>0.93913043478260871</v>
      </c>
      <c r="F5">
        <v>0.7021276595744681</v>
      </c>
      <c r="G5">
        <v>0.63461538461538447</v>
      </c>
      <c r="H5">
        <v>0.55852392528924177</v>
      </c>
      <c r="I5">
        <v>0.55467537770518527</v>
      </c>
      <c r="J5">
        <v>0.90883867276887864</v>
      </c>
    </row>
    <row r="6" spans="1:10" x14ac:dyDescent="0.25">
      <c r="A6" t="s">
        <v>27</v>
      </c>
      <c r="B6">
        <v>0.78322839143491318</v>
      </c>
      <c r="C6">
        <v>0.83926595143986449</v>
      </c>
      <c r="D6">
        <v>0.69009661835748792</v>
      </c>
      <c r="E6">
        <v>0.87636016451233834</v>
      </c>
      <c r="F6">
        <v>0.58190359569630812</v>
      </c>
      <c r="G6">
        <v>0.63016868716995</v>
      </c>
      <c r="H6">
        <v>0.53270149181610971</v>
      </c>
      <c r="I6">
        <v>0.52860489329127403</v>
      </c>
      <c r="J6">
        <v>0.88890119112496246</v>
      </c>
    </row>
    <row r="7" spans="1:10" x14ac:dyDescent="0.25">
      <c r="A7" t="s">
        <v>28</v>
      </c>
      <c r="B7">
        <v>0.71514111365369948</v>
      </c>
      <c r="C7">
        <v>0.85540069686411146</v>
      </c>
      <c r="D7">
        <v>0.48245614035087719</v>
      </c>
      <c r="E7">
        <v>0.94782608695652171</v>
      </c>
      <c r="F7">
        <v>0.69620253164556967</v>
      </c>
      <c r="G7">
        <v>0.56994818652849721</v>
      </c>
      <c r="H7">
        <v>0.49827443392829529</v>
      </c>
      <c r="I7">
        <v>0.48645036110811629</v>
      </c>
      <c r="J7">
        <v>0.9033466819221968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topLeftCell="J1" workbookViewId="0">
      <selection sqref="A1:S1"/>
    </sheetView>
  </sheetViews>
  <sheetFormatPr defaultRowHeight="15" x14ac:dyDescent="0.25"/>
  <cols>
    <col min="1" max="1" width="59.28515625" customWidth="1"/>
    <col min="2" max="2" width="18.140625" customWidth="1"/>
    <col min="3" max="3" width="15.85546875" customWidth="1"/>
    <col min="4" max="4" width="14.5703125" customWidth="1"/>
    <col min="5" max="5" width="13.7109375" customWidth="1"/>
    <col min="6" max="6" width="16.28515625" customWidth="1"/>
    <col min="7" max="7" width="14" customWidth="1"/>
    <col min="8" max="8" width="16.140625" customWidth="1"/>
    <col min="9" max="9" width="13.85546875" customWidth="1"/>
    <col min="10" max="10" width="15.28515625" customWidth="1"/>
    <col min="11" max="11" width="13.7109375" customWidth="1"/>
    <col min="12" max="12" width="12.7109375" customWidth="1"/>
    <col min="13" max="13" width="13.7109375" customWidth="1"/>
    <col min="14" max="14" width="12.7109375" customWidth="1"/>
    <col min="15" max="15" width="13.7109375" customWidth="1"/>
    <col min="16" max="16" width="12.7109375" customWidth="1"/>
    <col min="17" max="17" width="13.7109375" customWidth="1"/>
    <col min="18" max="18" width="12.7109375" customWidth="1"/>
    <col min="19" max="19" width="13.7109375" customWidth="1"/>
    <col min="20" max="20" width="20.140625" customWidth="1"/>
    <col min="21" max="21" width="20.7109375" customWidth="1"/>
    <col min="22" max="22" width="30.28515625" customWidth="1"/>
  </cols>
  <sheetData>
    <row r="1" spans="1:22" x14ac:dyDescent="0.25">
      <c r="A1" t="s">
        <v>38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</row>
    <row r="2" spans="1:22" x14ac:dyDescent="0.25">
      <c r="A2" t="s">
        <v>39</v>
      </c>
      <c r="B2">
        <v>0.78896788092440273</v>
      </c>
      <c r="C2">
        <v>3.5770130003148777E-2</v>
      </c>
      <c r="D2">
        <v>0.83926218708827405</v>
      </c>
      <c r="E2">
        <v>2.0759560016917561E-2</v>
      </c>
      <c r="F2">
        <v>0.70536231884057976</v>
      </c>
      <c r="G2">
        <v>7.6380955227156738E-2</v>
      </c>
      <c r="H2">
        <v>0.8725734430082257</v>
      </c>
      <c r="I2">
        <v>2.5641226785874126E-2</v>
      </c>
      <c r="J2">
        <v>0.58111473223452648</v>
      </c>
      <c r="K2">
        <v>4.6073510090737048E-2</v>
      </c>
      <c r="L2">
        <v>0.63503295163024231</v>
      </c>
      <c r="M2">
        <v>4.8459564599013516E-2</v>
      </c>
      <c r="N2">
        <v>0.53932665629970744</v>
      </c>
      <c r="O2">
        <v>5.9007068762421622E-2</v>
      </c>
      <c r="P2">
        <v>0.53362199769619767</v>
      </c>
      <c r="Q2">
        <v>5.9373060548269477E-2</v>
      </c>
      <c r="R2">
        <v>0.88115313257491901</v>
      </c>
      <c r="S2">
        <v>2.9068885867080688E-2</v>
      </c>
      <c r="T2">
        <v>1.9599100000000001E-2</v>
      </c>
      <c r="U2">
        <v>8.5162163937511734E-2</v>
      </c>
      <c r="V2" t="s">
        <v>66</v>
      </c>
    </row>
    <row r="3" spans="1:22" x14ac:dyDescent="0.25">
      <c r="A3" t="s">
        <v>40</v>
      </c>
      <c r="B3">
        <v>0.74599542334096114</v>
      </c>
      <c r="D3">
        <v>0.84668989547038331</v>
      </c>
      <c r="F3">
        <v>0.57894736842105265</v>
      </c>
      <c r="H3">
        <v>0.91304347826086951</v>
      </c>
      <c r="J3">
        <v>0.62264150943396224</v>
      </c>
      <c r="L3">
        <v>0.59999999999999987</v>
      </c>
      <c r="N3">
        <v>0.50583922717207375</v>
      </c>
      <c r="P3">
        <v>0.50532748354747703</v>
      </c>
      <c r="R3">
        <v>0.8690598779557589</v>
      </c>
      <c r="T3">
        <v>6.1771199999999998E-2</v>
      </c>
      <c r="U3">
        <v>0.10761533101045295</v>
      </c>
      <c r="V3" t="s">
        <v>67</v>
      </c>
    </row>
    <row r="4" spans="1:22" x14ac:dyDescent="0.25">
      <c r="A4" t="s">
        <v>41</v>
      </c>
      <c r="B4">
        <v>0.79831978717848284</v>
      </c>
      <c r="C4">
        <v>2.963727140861222E-2</v>
      </c>
      <c r="D4">
        <v>0.85313570487483525</v>
      </c>
      <c r="E4">
        <v>2.3076021865384305E-2</v>
      </c>
      <c r="F4">
        <v>0.70729468599033818</v>
      </c>
      <c r="G4">
        <v>4.4673410772339182E-2</v>
      </c>
      <c r="H4">
        <v>0.88934488836662751</v>
      </c>
      <c r="I4">
        <v>2.107162284222569E-2</v>
      </c>
      <c r="J4">
        <v>0.61570370320443335</v>
      </c>
      <c r="K4">
        <v>5.7291753527021656E-2</v>
      </c>
      <c r="L4">
        <v>0.65776406137111609</v>
      </c>
      <c r="M4">
        <v>4.8763859090755625E-2</v>
      </c>
      <c r="N4">
        <v>0.56755491948683234</v>
      </c>
      <c r="O4">
        <v>6.2455429226883241E-2</v>
      </c>
      <c r="P4">
        <v>0.5649757058524878</v>
      </c>
      <c r="Q4">
        <v>6.3249182045013716E-2</v>
      </c>
      <c r="R4">
        <v>0.90476724739862746</v>
      </c>
      <c r="S4">
        <v>2.0242137191155921E-2</v>
      </c>
      <c r="T4">
        <v>3.9067279999999996E-2</v>
      </c>
      <c r="U4">
        <v>0.16970851872764917</v>
      </c>
      <c r="V4" t="s">
        <v>68</v>
      </c>
    </row>
    <row r="5" spans="1:22" x14ac:dyDescent="0.25">
      <c r="A5" t="s">
        <v>42</v>
      </c>
      <c r="B5">
        <v>0.75903890160183063</v>
      </c>
      <c r="D5">
        <v>0.86759581881533099</v>
      </c>
      <c r="F5">
        <v>0.57894736842105265</v>
      </c>
      <c r="H5">
        <v>0.93913043478260871</v>
      </c>
      <c r="J5">
        <v>0.7021276595744681</v>
      </c>
      <c r="L5">
        <v>0.63461538461538447</v>
      </c>
      <c r="N5">
        <v>0.55852392528924177</v>
      </c>
      <c r="P5">
        <v>0.55467537770518527</v>
      </c>
      <c r="R5">
        <v>0.90883867276887864</v>
      </c>
      <c r="T5">
        <v>0.1597674</v>
      </c>
      <c r="U5">
        <v>0.27834041811846688</v>
      </c>
      <c r="V5" t="s">
        <v>69</v>
      </c>
    </row>
    <row r="6" spans="1:22" x14ac:dyDescent="0.25">
      <c r="A6" t="s">
        <v>43</v>
      </c>
      <c r="B6">
        <v>0.78322839143491318</v>
      </c>
      <c r="C6">
        <v>3.088668597469809E-2</v>
      </c>
      <c r="D6">
        <v>0.83926595143986449</v>
      </c>
      <c r="E6">
        <v>1.6050026675574459E-2</v>
      </c>
      <c r="F6">
        <v>0.69009661835748792</v>
      </c>
      <c r="G6">
        <v>6.4755626549101497E-2</v>
      </c>
      <c r="H6">
        <v>0.87636016451233834</v>
      </c>
      <c r="I6">
        <v>1.7655685871064641E-2</v>
      </c>
      <c r="J6">
        <v>0.58190359569630812</v>
      </c>
      <c r="K6">
        <v>3.7536237986356052E-2</v>
      </c>
      <c r="L6">
        <v>0.63016868716995</v>
      </c>
      <c r="M6">
        <v>3.9011573820099781E-2</v>
      </c>
      <c r="N6">
        <v>0.53270149181610971</v>
      </c>
      <c r="O6">
        <v>5.0460124165640656E-2</v>
      </c>
      <c r="P6">
        <v>0.52860489329127403</v>
      </c>
      <c r="Q6">
        <v>4.8485994954263811E-2</v>
      </c>
      <c r="R6">
        <v>0.88890119112496246</v>
      </c>
      <c r="S6">
        <v>2.2307983732940285E-2</v>
      </c>
      <c r="T6">
        <v>2.3481410000000001E-2</v>
      </c>
      <c r="U6">
        <v>0.10201148390739696</v>
      </c>
      <c r="V6" t="s">
        <v>70</v>
      </c>
    </row>
    <row r="7" spans="1:22" x14ac:dyDescent="0.25">
      <c r="A7" t="s">
        <v>44</v>
      </c>
      <c r="B7">
        <v>0.71514111365369948</v>
      </c>
      <c r="D7">
        <v>0.85540069686411146</v>
      </c>
      <c r="F7">
        <v>0.48245614035087719</v>
      </c>
      <c r="H7">
        <v>0.94782608695652171</v>
      </c>
      <c r="J7">
        <v>0.69620253164556967</v>
      </c>
      <c r="L7">
        <v>0.56994818652849721</v>
      </c>
      <c r="N7">
        <v>0.49827443392829529</v>
      </c>
      <c r="P7">
        <v>0.48645036110811629</v>
      </c>
      <c r="R7">
        <v>0.9033466819221968</v>
      </c>
      <c r="T7">
        <v>5.24424E-2</v>
      </c>
      <c r="U7">
        <v>9.1363066202090587E-2</v>
      </c>
      <c r="V7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4AD8-B27D-4F00-A6DA-21D0F62EF722}">
  <dimension ref="A1:S21"/>
  <sheetViews>
    <sheetView tabSelected="1" topLeftCell="B6" workbookViewId="0">
      <selection activeCell="F25" sqref="F25"/>
    </sheetView>
  </sheetViews>
  <sheetFormatPr defaultRowHeight="15" x14ac:dyDescent="0.25"/>
  <cols>
    <col min="1" max="1" width="60.85546875" bestFit="1" customWidth="1"/>
    <col min="2" max="19" width="14.42578125" customWidth="1"/>
  </cols>
  <sheetData>
    <row r="1" spans="1:19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</row>
    <row r="2" spans="1:19" x14ac:dyDescent="0.25">
      <c r="A2" t="s">
        <v>27</v>
      </c>
      <c r="B2">
        <v>0.78322839143491318</v>
      </c>
      <c r="C2">
        <v>3.088668597469809E-2</v>
      </c>
      <c r="D2">
        <v>0.83926595143986449</v>
      </c>
      <c r="E2">
        <v>1.6050026675574459E-2</v>
      </c>
      <c r="F2">
        <v>0.69009661835748792</v>
      </c>
      <c r="G2">
        <v>6.4755626549101497E-2</v>
      </c>
      <c r="H2">
        <v>0.87636016451233834</v>
      </c>
      <c r="I2">
        <v>1.7655685871064641E-2</v>
      </c>
      <c r="J2">
        <v>0.58190359569630812</v>
      </c>
      <c r="K2">
        <v>3.7536237986356052E-2</v>
      </c>
      <c r="L2">
        <v>0.63016868716995</v>
      </c>
      <c r="M2">
        <v>3.9011573820099781E-2</v>
      </c>
      <c r="N2">
        <v>0.53270149181610971</v>
      </c>
      <c r="O2">
        <v>5.0460124165640656E-2</v>
      </c>
      <c r="P2">
        <v>0.52860489329127403</v>
      </c>
      <c r="Q2">
        <v>4.8485994954263811E-2</v>
      </c>
      <c r="R2">
        <v>0.88890119112496246</v>
      </c>
      <c r="S2">
        <v>2.2307983732940285E-2</v>
      </c>
    </row>
    <row r="3" spans="1:19" x14ac:dyDescent="0.25">
      <c r="A3" t="s">
        <v>28</v>
      </c>
      <c r="B3">
        <v>0.71514111365369948</v>
      </c>
      <c r="D3">
        <v>0.85540069686411146</v>
      </c>
      <c r="F3">
        <v>0.48245614035087719</v>
      </c>
      <c r="H3">
        <v>0.94782608695652171</v>
      </c>
      <c r="J3">
        <v>0.69620253164556967</v>
      </c>
      <c r="L3">
        <v>0.56994818652849721</v>
      </c>
      <c r="N3">
        <v>0.49827443392829529</v>
      </c>
      <c r="P3">
        <v>0.48645036110811629</v>
      </c>
      <c r="R3">
        <v>0.9033466819221968</v>
      </c>
    </row>
    <row r="4" spans="1:19" x14ac:dyDescent="0.25">
      <c r="A4" t="s">
        <v>23</v>
      </c>
      <c r="B4">
        <v>0.78896788092440273</v>
      </c>
      <c r="C4">
        <v>3.5770130003148777E-2</v>
      </c>
      <c r="D4">
        <v>0.83926218708827405</v>
      </c>
      <c r="E4">
        <v>2.0759560016917561E-2</v>
      </c>
      <c r="F4">
        <v>0.70536231884057976</v>
      </c>
      <c r="G4">
        <v>7.6380955227156738E-2</v>
      </c>
      <c r="H4">
        <v>0.8725734430082257</v>
      </c>
      <c r="I4">
        <v>2.5641226785874126E-2</v>
      </c>
      <c r="J4">
        <v>0.58111473223452648</v>
      </c>
      <c r="K4">
        <v>4.6073510090737048E-2</v>
      </c>
      <c r="L4">
        <v>0.63503295163024231</v>
      </c>
      <c r="M4">
        <v>4.8459564599013516E-2</v>
      </c>
      <c r="N4">
        <v>0.53932665629970744</v>
      </c>
      <c r="O4">
        <v>5.9007068762421622E-2</v>
      </c>
      <c r="P4">
        <v>0.53362199769619767</v>
      </c>
      <c r="Q4">
        <v>5.9373060548269477E-2</v>
      </c>
      <c r="R4">
        <v>0.88115313257491901</v>
      </c>
      <c r="S4">
        <v>2.9068885867080688E-2</v>
      </c>
    </row>
    <row r="5" spans="1:19" x14ac:dyDescent="0.25">
      <c r="A5" t="s">
        <v>24</v>
      </c>
      <c r="B5">
        <v>0.74599542334096114</v>
      </c>
      <c r="D5">
        <v>0.84668989547038331</v>
      </c>
      <c r="F5">
        <v>0.57894736842105265</v>
      </c>
      <c r="H5">
        <v>0.91304347826086951</v>
      </c>
      <c r="J5">
        <v>0.62264150943396224</v>
      </c>
      <c r="L5">
        <v>0.59999999999999987</v>
      </c>
      <c r="N5">
        <v>0.50583922717207375</v>
      </c>
      <c r="P5">
        <v>0.50532748354747703</v>
      </c>
      <c r="R5">
        <v>0.8690598779557589</v>
      </c>
    </row>
    <row r="6" spans="1:19" x14ac:dyDescent="0.25">
      <c r="A6" t="s">
        <v>25</v>
      </c>
      <c r="B6">
        <v>0.79831978717848284</v>
      </c>
      <c r="C6">
        <v>2.963727140861222E-2</v>
      </c>
      <c r="D6">
        <v>0.85313570487483525</v>
      </c>
      <c r="E6">
        <v>2.3076021865384305E-2</v>
      </c>
      <c r="F6">
        <v>0.70729468599033818</v>
      </c>
      <c r="G6">
        <v>4.4673410772339182E-2</v>
      </c>
      <c r="H6">
        <v>0.88934488836662751</v>
      </c>
      <c r="I6">
        <v>2.107162284222569E-2</v>
      </c>
      <c r="J6">
        <v>0.61570370320443335</v>
      </c>
      <c r="K6">
        <v>5.7291753527021656E-2</v>
      </c>
      <c r="L6">
        <v>0.65776406137111609</v>
      </c>
      <c r="M6">
        <v>4.8763859090755625E-2</v>
      </c>
      <c r="N6">
        <v>0.56755491948683234</v>
      </c>
      <c r="O6">
        <v>6.2455429226883241E-2</v>
      </c>
      <c r="P6">
        <v>0.5649757058524878</v>
      </c>
      <c r="Q6">
        <v>6.3249182045013716E-2</v>
      </c>
      <c r="R6">
        <v>0.90476724739862746</v>
      </c>
      <c r="S6">
        <v>2.0242137191155921E-2</v>
      </c>
    </row>
    <row r="7" spans="1:19" x14ac:dyDescent="0.25">
      <c r="A7" t="s">
        <v>26</v>
      </c>
      <c r="B7">
        <v>0.75903890160183063</v>
      </c>
      <c r="D7">
        <v>0.86759581881533099</v>
      </c>
      <c r="F7">
        <v>0.57894736842105265</v>
      </c>
      <c r="H7">
        <v>0.93913043478260871</v>
      </c>
      <c r="J7">
        <v>0.7021276595744681</v>
      </c>
      <c r="L7">
        <v>0.63461538461538447</v>
      </c>
      <c r="N7">
        <v>0.55852392528924177</v>
      </c>
      <c r="P7">
        <v>0.55467537770518527</v>
      </c>
      <c r="R7">
        <v>0.90883867276887864</v>
      </c>
    </row>
    <row r="9" spans="1:19" x14ac:dyDescent="0.25">
      <c r="B9" t="str">
        <f>TEXT(B2,"0.0000") &amp; " ± " &amp; TEXT(C2,"0.0000")</f>
        <v>0.7832 ± 0.0309</v>
      </c>
      <c r="C9" t="str">
        <f t="shared" ref="C9:S14" si="0">TEXT(C2,"0.0000") &amp; " ± " &amp; TEXT(D2,"0.0000")</f>
        <v>0.0309 ± 0.8393</v>
      </c>
      <c r="D9" t="str">
        <f t="shared" si="0"/>
        <v>0.8393 ± 0.0161</v>
      </c>
      <c r="E9" t="str">
        <f t="shared" si="0"/>
        <v>0.0161 ± 0.6901</v>
      </c>
      <c r="F9" t="str">
        <f t="shared" si="0"/>
        <v>0.6901 ± 0.0648</v>
      </c>
      <c r="G9" t="str">
        <f t="shared" si="0"/>
        <v>0.0648 ± 0.8764</v>
      </c>
      <c r="H9" t="str">
        <f t="shared" si="0"/>
        <v>0.8764 ± 0.0177</v>
      </c>
      <c r="I9" t="str">
        <f t="shared" si="0"/>
        <v>0.0177 ± 0.5819</v>
      </c>
      <c r="J9" t="str">
        <f t="shared" si="0"/>
        <v>0.5819 ± 0.0375</v>
      </c>
      <c r="K9" t="str">
        <f t="shared" si="0"/>
        <v>0.0375 ± 0.6302</v>
      </c>
      <c r="L9" t="str">
        <f t="shared" si="0"/>
        <v>0.6302 ± 0.0390</v>
      </c>
      <c r="M9" t="str">
        <f t="shared" si="0"/>
        <v>0.0390 ± 0.5327</v>
      </c>
      <c r="N9" t="str">
        <f t="shared" si="0"/>
        <v>0.5327 ± 0.0505</v>
      </c>
      <c r="O9" t="str">
        <f t="shared" si="0"/>
        <v>0.0505 ± 0.5286</v>
      </c>
      <c r="P9" t="str">
        <f t="shared" si="0"/>
        <v>0.5286 ± 0.0485</v>
      </c>
      <c r="Q9" t="str">
        <f t="shared" si="0"/>
        <v>0.0485 ± 0.8889</v>
      </c>
      <c r="R9" t="str">
        <f t="shared" si="0"/>
        <v>0.8889 ± 0.0223</v>
      </c>
      <c r="S9" t="str">
        <f t="shared" si="0"/>
        <v>0.0223 ± 0.0000</v>
      </c>
    </row>
    <row r="10" spans="1:19" x14ac:dyDescent="0.25">
      <c r="B10" t="str">
        <f t="shared" ref="B10:Q14" si="1">TEXT(B3,"0.0000") &amp; " ± " &amp; TEXT(C3,"0.0000")</f>
        <v>0.7151 ± 0.0000</v>
      </c>
      <c r="C10" t="str">
        <f t="shared" si="1"/>
        <v>0.0000 ± 0.8554</v>
      </c>
      <c r="D10" t="str">
        <f t="shared" si="1"/>
        <v>0.8554 ± 0.0000</v>
      </c>
      <c r="E10" t="str">
        <f t="shared" si="1"/>
        <v>0.0000 ± 0.4825</v>
      </c>
      <c r="F10" t="str">
        <f t="shared" si="1"/>
        <v>0.4825 ± 0.0000</v>
      </c>
      <c r="G10" t="str">
        <f t="shared" si="1"/>
        <v>0.0000 ± 0.9478</v>
      </c>
      <c r="H10" t="str">
        <f t="shared" si="1"/>
        <v>0.9478 ± 0.0000</v>
      </c>
      <c r="I10" t="str">
        <f t="shared" si="1"/>
        <v>0.0000 ± 0.6962</v>
      </c>
      <c r="J10" t="str">
        <f t="shared" si="1"/>
        <v>0.6962 ± 0.0000</v>
      </c>
      <c r="K10" t="str">
        <f t="shared" si="1"/>
        <v>0.0000 ± 0.5699</v>
      </c>
      <c r="L10" t="str">
        <f t="shared" si="1"/>
        <v>0.5699 ± 0.0000</v>
      </c>
      <c r="M10" t="str">
        <f t="shared" si="1"/>
        <v>0.0000 ± 0.4983</v>
      </c>
      <c r="N10" t="str">
        <f t="shared" si="1"/>
        <v>0.4983 ± 0.0000</v>
      </c>
      <c r="O10" t="str">
        <f t="shared" si="1"/>
        <v>0.0000 ± 0.4865</v>
      </c>
      <c r="P10" t="str">
        <f t="shared" si="1"/>
        <v>0.4865 ± 0.0000</v>
      </c>
      <c r="Q10" t="str">
        <f t="shared" si="1"/>
        <v>0.0000 ± 0.9033</v>
      </c>
      <c r="R10" t="str">
        <f t="shared" si="0"/>
        <v>0.9033 ± 0.0000</v>
      </c>
      <c r="S10" t="str">
        <f t="shared" si="0"/>
        <v>0.0000 ± 0.0000</v>
      </c>
    </row>
    <row r="11" spans="1:19" x14ac:dyDescent="0.25">
      <c r="B11" t="str">
        <f t="shared" si="1"/>
        <v>0.7890 ± 0.0358</v>
      </c>
      <c r="C11" t="str">
        <f t="shared" si="0"/>
        <v>0.0358 ± 0.8393</v>
      </c>
      <c r="D11" t="str">
        <f t="shared" si="0"/>
        <v>0.8393 ± 0.0208</v>
      </c>
      <c r="E11" t="str">
        <f t="shared" si="0"/>
        <v>0.0208 ± 0.7054</v>
      </c>
      <c r="F11" t="str">
        <f t="shared" si="0"/>
        <v>0.7054 ± 0.0764</v>
      </c>
      <c r="G11" t="str">
        <f t="shared" si="0"/>
        <v>0.0764 ± 0.8726</v>
      </c>
      <c r="H11" t="str">
        <f t="shared" si="0"/>
        <v>0.8726 ± 0.0256</v>
      </c>
      <c r="I11" t="str">
        <f t="shared" si="0"/>
        <v>0.0256 ± 0.5811</v>
      </c>
      <c r="J11" t="str">
        <f t="shared" si="0"/>
        <v>0.5811 ± 0.0461</v>
      </c>
      <c r="K11" t="str">
        <f t="shared" si="0"/>
        <v>0.0461 ± 0.6350</v>
      </c>
      <c r="L11" t="str">
        <f t="shared" si="0"/>
        <v>0.6350 ± 0.0485</v>
      </c>
      <c r="M11" t="str">
        <f t="shared" si="0"/>
        <v>0.0485 ± 0.5393</v>
      </c>
      <c r="N11" t="str">
        <f t="shared" si="0"/>
        <v>0.5393 ± 0.0590</v>
      </c>
      <c r="O11" t="str">
        <f t="shared" si="0"/>
        <v>0.0590 ± 0.5336</v>
      </c>
      <c r="P11" t="str">
        <f t="shared" si="0"/>
        <v>0.5336 ± 0.0594</v>
      </c>
      <c r="Q11" t="str">
        <f t="shared" si="0"/>
        <v>0.0594 ± 0.8812</v>
      </c>
      <c r="R11" t="str">
        <f t="shared" si="0"/>
        <v>0.8812 ± 0.0291</v>
      </c>
      <c r="S11" t="str">
        <f t="shared" si="0"/>
        <v>0.0291 ± 0.0000</v>
      </c>
    </row>
    <row r="12" spans="1:19" x14ac:dyDescent="0.25">
      <c r="B12" t="str">
        <f t="shared" si="1"/>
        <v>0.7460 ± 0.0000</v>
      </c>
      <c r="C12" t="str">
        <f t="shared" si="0"/>
        <v>0.0000 ± 0.8467</v>
      </c>
      <c r="D12" t="str">
        <f t="shared" si="0"/>
        <v>0.8467 ± 0.0000</v>
      </c>
      <c r="E12" t="str">
        <f t="shared" si="0"/>
        <v>0.0000 ± 0.5789</v>
      </c>
      <c r="F12" t="str">
        <f t="shared" si="0"/>
        <v>0.5789 ± 0.0000</v>
      </c>
      <c r="G12" t="str">
        <f t="shared" si="0"/>
        <v>0.0000 ± 0.9130</v>
      </c>
      <c r="H12" t="str">
        <f t="shared" si="0"/>
        <v>0.9130 ± 0.0000</v>
      </c>
      <c r="I12" t="str">
        <f t="shared" si="0"/>
        <v>0.0000 ± 0.6226</v>
      </c>
      <c r="J12" t="str">
        <f t="shared" si="0"/>
        <v>0.6226 ± 0.0000</v>
      </c>
      <c r="K12" t="str">
        <f t="shared" si="0"/>
        <v>0.0000 ± 0.6000</v>
      </c>
      <c r="L12" t="str">
        <f t="shared" si="0"/>
        <v>0.6000 ± 0.0000</v>
      </c>
      <c r="M12" t="str">
        <f t="shared" si="0"/>
        <v>0.0000 ± 0.5058</v>
      </c>
      <c r="N12" t="str">
        <f t="shared" si="0"/>
        <v>0.5058 ± 0.0000</v>
      </c>
      <c r="O12" t="str">
        <f t="shared" si="0"/>
        <v>0.0000 ± 0.5053</v>
      </c>
      <c r="P12" t="str">
        <f t="shared" si="0"/>
        <v>0.5053 ± 0.0000</v>
      </c>
      <c r="Q12" t="str">
        <f t="shared" si="0"/>
        <v>0.0000 ± 0.8691</v>
      </c>
      <c r="R12" t="str">
        <f t="shared" si="0"/>
        <v>0.8691 ± 0.0000</v>
      </c>
      <c r="S12" t="str">
        <f t="shared" si="0"/>
        <v>0.0000 ± 0.0000</v>
      </c>
    </row>
    <row r="13" spans="1:19" x14ac:dyDescent="0.25">
      <c r="B13" t="str">
        <f t="shared" si="1"/>
        <v>0.7983 ± 0.0296</v>
      </c>
      <c r="C13" t="str">
        <f t="shared" si="0"/>
        <v>0.0296 ± 0.8531</v>
      </c>
      <c r="D13" t="str">
        <f t="shared" si="0"/>
        <v>0.8531 ± 0.0231</v>
      </c>
      <c r="E13" t="str">
        <f t="shared" si="0"/>
        <v>0.0231 ± 0.7073</v>
      </c>
      <c r="F13" t="str">
        <f t="shared" si="0"/>
        <v>0.7073 ± 0.0447</v>
      </c>
      <c r="G13" t="str">
        <f t="shared" si="0"/>
        <v>0.0447 ± 0.8893</v>
      </c>
      <c r="H13" t="str">
        <f t="shared" si="0"/>
        <v>0.8893 ± 0.0211</v>
      </c>
      <c r="I13" t="str">
        <f t="shared" si="0"/>
        <v>0.0211 ± 0.6157</v>
      </c>
      <c r="J13" t="str">
        <f t="shared" si="0"/>
        <v>0.6157 ± 0.0573</v>
      </c>
      <c r="K13" t="str">
        <f t="shared" si="0"/>
        <v>0.0573 ± 0.6578</v>
      </c>
      <c r="L13" t="str">
        <f t="shared" si="0"/>
        <v>0.6578 ± 0.0488</v>
      </c>
      <c r="M13" t="str">
        <f t="shared" si="0"/>
        <v>0.0488 ± 0.5676</v>
      </c>
      <c r="N13" t="str">
        <f t="shared" si="0"/>
        <v>0.5676 ± 0.0625</v>
      </c>
      <c r="O13" t="str">
        <f t="shared" si="0"/>
        <v>0.0625 ± 0.5650</v>
      </c>
      <c r="P13" t="str">
        <f t="shared" si="0"/>
        <v>0.5650 ± 0.0632</v>
      </c>
      <c r="Q13" t="str">
        <f t="shared" si="0"/>
        <v>0.0632 ± 0.9048</v>
      </c>
      <c r="R13" t="str">
        <f t="shared" si="0"/>
        <v>0.9048 ± 0.0202</v>
      </c>
      <c r="S13" t="str">
        <f t="shared" si="0"/>
        <v>0.0202 ± 0.0000</v>
      </c>
    </row>
    <row r="14" spans="1:19" x14ac:dyDescent="0.25">
      <c r="B14" t="str">
        <f t="shared" si="1"/>
        <v>0.7590 ± 0.0000</v>
      </c>
      <c r="C14" t="str">
        <f t="shared" si="0"/>
        <v>0.0000 ± 0.8676</v>
      </c>
      <c r="D14" t="str">
        <f t="shared" si="0"/>
        <v>0.8676 ± 0.0000</v>
      </c>
      <c r="E14" t="str">
        <f t="shared" si="0"/>
        <v>0.0000 ± 0.5789</v>
      </c>
      <c r="F14" t="str">
        <f t="shared" si="0"/>
        <v>0.5789 ± 0.0000</v>
      </c>
      <c r="G14" t="str">
        <f t="shared" si="0"/>
        <v>0.0000 ± 0.9391</v>
      </c>
      <c r="H14" t="str">
        <f t="shared" si="0"/>
        <v>0.9391 ± 0.0000</v>
      </c>
      <c r="I14" t="str">
        <f t="shared" si="0"/>
        <v>0.0000 ± 0.7021</v>
      </c>
      <c r="J14" t="str">
        <f t="shared" si="0"/>
        <v>0.7021 ± 0.0000</v>
      </c>
      <c r="K14" t="str">
        <f t="shared" si="0"/>
        <v>0.0000 ± 0.6346</v>
      </c>
      <c r="L14" t="str">
        <f t="shared" si="0"/>
        <v>0.6346 ± 0.0000</v>
      </c>
      <c r="M14" t="str">
        <f t="shared" si="0"/>
        <v>0.0000 ± 0.5585</v>
      </c>
      <c r="N14" t="str">
        <f t="shared" si="0"/>
        <v>0.5585 ± 0.0000</v>
      </c>
      <c r="O14" t="str">
        <f t="shared" si="0"/>
        <v>0.0000 ± 0.5547</v>
      </c>
      <c r="P14" t="str">
        <f t="shared" si="0"/>
        <v>0.5547 ± 0.0000</v>
      </c>
      <c r="Q14" t="str">
        <f t="shared" si="0"/>
        <v>0.0000 ± 0.9088</v>
      </c>
      <c r="R14" t="str">
        <f t="shared" si="0"/>
        <v>0.9088 ± 0.0000</v>
      </c>
      <c r="S14" t="str">
        <f t="shared" si="0"/>
        <v>0.0000 ± 0.0000</v>
      </c>
    </row>
    <row r="16" spans="1:19" x14ac:dyDescent="0.25">
      <c r="D16" t="s">
        <v>72</v>
      </c>
      <c r="E16" t="s">
        <v>78</v>
      </c>
      <c r="F16" t="s">
        <v>83</v>
      </c>
      <c r="G16" t="s">
        <v>89</v>
      </c>
      <c r="H16" t="s">
        <v>95</v>
      </c>
      <c r="I16" t="s">
        <v>101</v>
      </c>
      <c r="J16" t="s">
        <v>107</v>
      </c>
      <c r="K16" t="s">
        <v>113</v>
      </c>
    </row>
    <row r="17" spans="4:11" x14ac:dyDescent="0.25">
      <c r="D17" t="s">
        <v>73</v>
      </c>
      <c r="E17" t="s">
        <v>79</v>
      </c>
      <c r="F17" t="s">
        <v>84</v>
      </c>
      <c r="G17" t="s">
        <v>90</v>
      </c>
      <c r="H17" t="s">
        <v>96</v>
      </c>
      <c r="I17" t="s">
        <v>102</v>
      </c>
      <c r="J17" t="s">
        <v>108</v>
      </c>
      <c r="K17" t="s">
        <v>114</v>
      </c>
    </row>
    <row r="18" spans="4:11" x14ac:dyDescent="0.25">
      <c r="D18" t="s">
        <v>74</v>
      </c>
      <c r="E18" t="s">
        <v>80</v>
      </c>
      <c r="F18" t="s">
        <v>85</v>
      </c>
      <c r="G18" t="s">
        <v>91</v>
      </c>
      <c r="H18" t="s">
        <v>97</v>
      </c>
      <c r="I18" t="s">
        <v>103</v>
      </c>
      <c r="J18" t="s">
        <v>109</v>
      </c>
      <c r="K18" t="s">
        <v>115</v>
      </c>
    </row>
    <row r="19" spans="4:11" x14ac:dyDescent="0.25">
      <c r="D19" t="s">
        <v>75</v>
      </c>
      <c r="E19" t="s">
        <v>81</v>
      </c>
      <c r="F19" t="s">
        <v>86</v>
      </c>
      <c r="G19" t="s">
        <v>92</v>
      </c>
      <c r="H19" t="s">
        <v>98</v>
      </c>
      <c r="I19" t="s">
        <v>104</v>
      </c>
      <c r="J19" t="s">
        <v>110</v>
      </c>
      <c r="K19" t="s">
        <v>116</v>
      </c>
    </row>
    <row r="20" spans="4:11" x14ac:dyDescent="0.25">
      <c r="D20" t="s">
        <v>76</v>
      </c>
      <c r="E20" t="s">
        <v>82</v>
      </c>
      <c r="F20" t="s">
        <v>87</v>
      </c>
      <c r="G20" t="s">
        <v>93</v>
      </c>
      <c r="H20" t="s">
        <v>99</v>
      </c>
      <c r="I20" t="s">
        <v>105</v>
      </c>
      <c r="J20" t="s">
        <v>111</v>
      </c>
      <c r="K20" t="s">
        <v>117</v>
      </c>
    </row>
    <row r="21" spans="4:11" x14ac:dyDescent="0.25">
      <c r="D21" t="s">
        <v>77</v>
      </c>
      <c r="E21" t="s">
        <v>81</v>
      </c>
      <c r="F21" t="s">
        <v>88</v>
      </c>
      <c r="G21" t="s">
        <v>94</v>
      </c>
      <c r="H21" t="s">
        <v>100</v>
      </c>
      <c r="I21" t="s">
        <v>106</v>
      </c>
      <c r="J21" t="s">
        <v>112</v>
      </c>
      <c r="K2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CV_MeanSD</vt:lpstr>
      <vt:lpstr>CV_test_Mean</vt:lpstr>
      <vt:lpstr>pub_results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KASHAN SIDDIQUI</cp:lastModifiedBy>
  <dcterms:modified xsi:type="dcterms:W3CDTF">2026-10-15T13:33:44Z</dcterms:modified>
</cp:coreProperties>
</file>