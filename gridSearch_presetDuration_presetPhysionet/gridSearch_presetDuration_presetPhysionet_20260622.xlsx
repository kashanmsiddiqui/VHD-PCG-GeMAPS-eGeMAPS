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a\Desktop\Second Revision - GeMAPS\gridSearch_presetDuration_presetPhysionet\"/>
    </mc:Choice>
  </mc:AlternateContent>
  <xr:revisionPtr revIDLastSave="0" documentId="13_ncr:1_{E5D928C9-B09B-4C4C-8C38-81F67345A2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V_MeanSD" sheetId="2" r:id="rId1"/>
    <sheet name="CV_test_Mean" sheetId="3" r:id="rId2"/>
    <sheet name="pub_results" sheetId="4" r:id="rId3"/>
    <sheet name="comparisonCV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D7" i="5"/>
  <c r="E7" i="5"/>
  <c r="F7" i="5"/>
  <c r="G7" i="5"/>
  <c r="H7" i="5"/>
  <c r="H8" i="5" s="1"/>
  <c r="H9" i="5" s="1"/>
  <c r="I7" i="5"/>
  <c r="B7" i="5"/>
  <c r="C6" i="5"/>
  <c r="C8" i="5" s="1"/>
  <c r="C9" i="5" s="1"/>
  <c r="D6" i="5"/>
  <c r="D8" i="5" s="1"/>
  <c r="D9" i="5" s="1"/>
  <c r="E6" i="5"/>
  <c r="E8" i="5" s="1"/>
  <c r="E9" i="5" s="1"/>
  <c r="F6" i="5"/>
  <c r="F8" i="5" s="1"/>
  <c r="F9" i="5" s="1"/>
  <c r="G6" i="5"/>
  <c r="H6" i="5"/>
  <c r="I6" i="5"/>
  <c r="I8" i="5" s="1"/>
  <c r="I9" i="5" s="1"/>
  <c r="B6" i="5"/>
  <c r="B8" i="5" s="1"/>
  <c r="B9" i="5" s="1"/>
  <c r="G8" i="5" l="1"/>
  <c r="G9" i="5" s="1"/>
</calcChain>
</file>

<file path=xl/sharedStrings.xml><?xml version="1.0" encoding="utf-8"?>
<sst xmlns="http://schemas.openxmlformats.org/spreadsheetml/2006/main" count="100" uniqueCount="63">
  <si>
    <t>filename</t>
  </si>
  <si>
    <t>preset10s_20260622_170058</t>
  </si>
  <si>
    <t>preset2s_20260622_163123</t>
  </si>
  <si>
    <t>preset3s_20260622_163447</t>
  </si>
  <si>
    <t>preset5s_20260622_164101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</si>
  <si>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</si>
  <si>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</si>
  <si>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</si>
  <si>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</si>
  <si>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</si>
  <si>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</si>
  <si>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</si>
  <si>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</si>
  <si>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</si>
  <si>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</si>
  <si>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</si>
  <si>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</si>
  <si>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</si>
  <si>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</si>
  <si>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</si>
  <si>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</si>
  <si>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</si>
  <si>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</si>
  <si>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preset10s_20260622_170058_CV</t>
  </si>
  <si>
    <t>preset10s_20260622_170058_Test</t>
  </si>
  <si>
    <t>preset2s_20260622_163123_CV</t>
  </si>
  <si>
    <t>preset2s_20260622_163123_Test</t>
  </si>
  <si>
    <t>preset3s_20260622_163447_CV</t>
  </si>
  <si>
    <t>preset3s_20260622_163447_Test</t>
  </si>
  <si>
    <t>preset5s_20260622_164101_CV</t>
  </si>
  <si>
    <t>preset5s_20260622_164101_Test</t>
  </si>
  <si>
    <t>totalInferenceTime_s</t>
  </si>
  <si>
    <t>avgInferenceTime_ms</t>
  </si>
  <si>
    <t>confMat</t>
  </si>
  <si>
    <t>TN=1771, FP=290, FN=108, TP=423</t>
  </si>
  <si>
    <t>TN=497, FP=17, FN=52, TP=82</t>
  </si>
  <si>
    <t>TN=1612, FP=449, FN=82, TP=449</t>
  </si>
  <si>
    <t>TN=500, FP=14, FN=82, TP=52</t>
  </si>
  <si>
    <t>TN=1607, FP=454, FN=79, TP=452</t>
  </si>
  <si>
    <t>TN=494, FP=20, FN=82, TP=52</t>
  </si>
  <si>
    <t>TN=1616, FP=445, FN=57, TP=474</t>
  </si>
  <si>
    <t>TN=494, FP=20, FN=73, TP=61</t>
  </si>
  <si>
    <t>preset2s</t>
  </si>
  <si>
    <t>preset3s</t>
  </si>
  <si>
    <t>preset5s</t>
  </si>
  <si>
    <t>preset10s</t>
  </si>
  <si>
    <t>%age inc</t>
  </si>
  <si>
    <t>best value</t>
  </si>
  <si>
    <t>2nd best value</t>
  </si>
  <si>
    <t>difference</t>
  </si>
  <si>
    <t>Mean Bal Acc</t>
  </si>
  <si>
    <t>Mean Se</t>
  </si>
  <si>
    <t>Mean Pr</t>
  </si>
  <si>
    <t>Mean Sp</t>
  </si>
  <si>
    <t>Mean F1</t>
  </si>
  <si>
    <t>Mean MCC</t>
  </si>
  <si>
    <t>Mean Kappa</t>
  </si>
  <si>
    <t>Mean AUC</t>
  </si>
  <si>
    <t>Preset Duration / Eval</t>
  </si>
  <si>
    <t>NOTES:</t>
  </si>
  <si>
    <t>10s preset duration leads in all other metrics</t>
  </si>
  <si>
    <t>5s preset duration leads in Mean Bal Acc and Mean Se</t>
  </si>
  <si>
    <t>In mean Se, 2s and 3s are not counted towards 2nd best because all other metrics are not among the two best respective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</si>
</sst>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2" xfId="0" applyBorder="1"/>
    <xf numFmtId="164" fontId="0" fillId="0" borderId="2" xfId="0" applyNumberFormat="1" applyBorder="1" applyAlignment="1">
      <alignment horizontal="center" vertical="center"/>
    </xf>
    <xf numFmtId="0" fontId="0" fillId="0" borderId="3" xfId="0" applyBorder="1"/>
    <xf numFmtId="164" fontId="0" fillId="0" borderId="3" xfId="0" applyNumberFormat="1" applyBorder="1" applyAlignment="1">
      <alignment horizontal="center" vertical="center"/>
    </xf>
    <xf numFmtId="0" fontId="2" fillId="0" borderId="4" xfId="0" applyFont="1" applyBorder="1"/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2" fillId="0" borderId="7" xfId="0" applyFont="1" applyBorder="1"/>
    <xf numFmtId="164" fontId="0" fillId="0" borderId="8" xfId="0" applyNumberFormat="1" applyBorder="1" applyAlignment="1">
      <alignment horizontal="center" vertical="center"/>
    </xf>
    <xf numFmtId="0" fontId="2" fillId="0" borderId="9" xfId="0" applyFont="1" applyBorder="1"/>
    <xf numFmtId="164" fontId="0" fillId="2" borderId="10" xfId="0" applyNumberForma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9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4" tint="0.5999633777886288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/>
  </sheetViews>
  <sheetFormatPr defaultRowHeight="14.4" x14ac:dyDescent="0.3"/>
  <cols>
    <col min="1" max="1" width="25.6640625" customWidth="1"/>
    <col min="2" max="2" width="18.109375" customWidth="1"/>
    <col min="3" max="3" width="15.88671875" customWidth="1"/>
    <col min="4" max="4" width="14.5546875" customWidth="1"/>
    <col min="5" max="5" width="13.6640625" customWidth="1"/>
    <col min="6" max="6" width="16.33203125" customWidth="1"/>
    <col min="7" max="7" width="14" customWidth="1"/>
    <col min="8" max="8" width="16.109375" customWidth="1"/>
    <col min="9" max="9" width="13.88671875" customWidth="1"/>
    <col min="10" max="10" width="15.33203125" customWidth="1"/>
    <col min="11" max="11" width="13.6640625" customWidth="1"/>
    <col min="12" max="12" width="12.6640625" customWidth="1"/>
    <col min="13" max="13" width="13.6640625" customWidth="1"/>
    <col min="14" max="14" width="12.6640625" customWidth="1"/>
    <col min="15" max="15" width="13.6640625" customWidth="1"/>
    <col min="16" max="16" width="12.6640625" customWidth="1"/>
    <col min="17" max="17" width="13.6640625" customWidth="1"/>
    <col min="18" max="18" width="12.6640625" customWidth="1"/>
    <col min="19" max="19" width="13.6640625" customWidth="1"/>
  </cols>
  <sheetData>
    <row r="1" spans="1:19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</row>
    <row r="2" spans="1:19" x14ac:dyDescent="0.3">
      <c r="A2" t="s">
        <v>1</v>
      </c>
      <c r="B2">
        <v>0.8279370432316554</v>
      </c>
      <c r="C2">
        <v>1.6723017186944137E-2</v>
      </c>
      <c r="D2">
        <v>0.84645628287246777</v>
      </c>
      <c r="E2">
        <v>1.6794238128706052E-2</v>
      </c>
      <c r="F2">
        <v>0.79657908658084986</v>
      </c>
      <c r="G2">
        <v>2.2036977040330526E-2</v>
      </c>
      <c r="H2">
        <v>0.85929499988246083</v>
      </c>
      <c r="I2">
        <v>1.8370245231931426E-2</v>
      </c>
      <c r="J2">
        <v>0.59452729460378229</v>
      </c>
      <c r="K2">
        <v>3.6209654030143056E-2</v>
      </c>
      <c r="L2">
        <v>0.68054498145037667</v>
      </c>
      <c r="M2">
        <v>2.8654869424621594E-2</v>
      </c>
      <c r="N2">
        <v>0.59342462570306476</v>
      </c>
      <c r="O2">
        <v>3.710464300563017E-2</v>
      </c>
      <c r="P2">
        <v>0.58240243523055957</v>
      </c>
      <c r="Q2">
        <v>3.9239774331393307E-2</v>
      </c>
      <c r="R2">
        <v>0.92060928445099299</v>
      </c>
      <c r="S2">
        <v>1.0913438031704289E-2</v>
      </c>
    </row>
    <row r="3" spans="1:19" x14ac:dyDescent="0.3">
      <c r="A3" t="s">
        <v>2</v>
      </c>
      <c r="B3">
        <v>0.81382138408332882</v>
      </c>
      <c r="C3">
        <v>1.7504286412324141E-2</v>
      </c>
      <c r="D3">
        <v>0.79513543270768705</v>
      </c>
      <c r="E3">
        <v>1.2969693252870318E-2</v>
      </c>
      <c r="F3">
        <v>0.84549462175983092</v>
      </c>
      <c r="G3">
        <v>3.1358871548641594E-2</v>
      </c>
      <c r="H3">
        <v>0.78214814640682662</v>
      </c>
      <c r="I3">
        <v>1.3590033367767625E-2</v>
      </c>
      <c r="J3">
        <v>0.5002442398588729</v>
      </c>
      <c r="K3">
        <v>1.9287600178067035E-2</v>
      </c>
      <c r="L3">
        <v>0.62843277995579427</v>
      </c>
      <c r="M3">
        <v>2.1204283494660765E-2</v>
      </c>
      <c r="N3">
        <v>0.53254850372311702</v>
      </c>
      <c r="O3">
        <v>2.9945123896638979E-2</v>
      </c>
      <c r="P3">
        <v>0.49961933439515305</v>
      </c>
      <c r="Q3">
        <v>2.8765554013554628E-2</v>
      </c>
      <c r="R3">
        <v>0.8863327146569524</v>
      </c>
      <c r="S3">
        <v>1.6646251042111617E-2</v>
      </c>
    </row>
    <row r="4" spans="1:19" x14ac:dyDescent="0.3">
      <c r="A4" t="s">
        <v>3</v>
      </c>
      <c r="B4">
        <v>0.81540741494888636</v>
      </c>
      <c r="C4">
        <v>2.0654101414146312E-2</v>
      </c>
      <c r="D4">
        <v>0.79437439090618289</v>
      </c>
      <c r="E4">
        <v>1.8932685555526123E-2</v>
      </c>
      <c r="F4">
        <v>0.85108446482101918</v>
      </c>
      <c r="G4">
        <v>5.1665658097503946E-2</v>
      </c>
      <c r="H4">
        <v>0.77973036507675308</v>
      </c>
      <c r="I4">
        <v>2.9273972459399618E-2</v>
      </c>
      <c r="J4">
        <v>0.50046866500611353</v>
      </c>
      <c r="K4">
        <v>2.9451243680588095E-2</v>
      </c>
      <c r="L4">
        <v>0.6292835157550587</v>
      </c>
      <c r="M4">
        <v>2.3858758746009869E-2</v>
      </c>
      <c r="N4">
        <v>0.53504470917688285</v>
      </c>
      <c r="O4">
        <v>3.3921736019931641E-2</v>
      </c>
      <c r="P4">
        <v>0.50031900125331585</v>
      </c>
      <c r="Q4">
        <v>3.3745447741634939E-2</v>
      </c>
      <c r="R4">
        <v>0.88847636103895089</v>
      </c>
      <c r="S4">
        <v>1.5323777258385077E-2</v>
      </c>
    </row>
    <row r="5" spans="1:19" x14ac:dyDescent="0.3">
      <c r="A5" t="s">
        <v>4</v>
      </c>
      <c r="B5">
        <v>0.83835423934460529</v>
      </c>
      <c r="C5">
        <v>1.6331324951322879E-2</v>
      </c>
      <c r="D5">
        <v>0.80633234390459818</v>
      </c>
      <c r="E5">
        <v>2.0614051268122217E-2</v>
      </c>
      <c r="F5">
        <v>0.89261153235760893</v>
      </c>
      <c r="G5">
        <v>3.1149722771559623E-2</v>
      </c>
      <c r="H5">
        <v>0.78409694633160165</v>
      </c>
      <c r="I5">
        <v>2.7971965714601799E-2</v>
      </c>
      <c r="J5">
        <v>0.51731438672255525</v>
      </c>
      <c r="K5">
        <v>3.1144044514456831E-2</v>
      </c>
      <c r="L5">
        <v>0.65437526429106418</v>
      </c>
      <c r="M5">
        <v>2.5399929635958735E-2</v>
      </c>
      <c r="N5">
        <v>0.57187389800695398</v>
      </c>
      <c r="O5">
        <v>3.2019766908740477E-2</v>
      </c>
      <c r="P5">
        <v>0.53311500512673715</v>
      </c>
      <c r="Q5">
        <v>3.6917324190425316E-2</v>
      </c>
      <c r="R5">
        <v>0.89904565051301932</v>
      </c>
      <c r="S5">
        <v>1.2890731227731524E-2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/>
  </sheetViews>
  <sheetFormatPr defaultRowHeight="14.4" x14ac:dyDescent="0.3"/>
  <cols>
    <col min="1" max="1" width="30.44140625" customWidth="1"/>
    <col min="2" max="2" width="18.109375" customWidth="1"/>
    <col min="3" max="3" width="14.5546875" customWidth="1"/>
    <col min="4" max="4" width="16.33203125" customWidth="1"/>
    <col min="5" max="5" width="16.109375" customWidth="1"/>
    <col min="6" max="6" width="15.33203125" customWidth="1"/>
    <col min="7" max="10" width="12.6640625" customWidth="1"/>
  </cols>
  <sheetData>
    <row r="1" spans="1:10" x14ac:dyDescent="0.3">
      <c r="A1" t="s">
        <v>0</v>
      </c>
      <c r="B1" t="s">
        <v>5</v>
      </c>
      <c r="C1" t="s">
        <v>7</v>
      </c>
      <c r="D1" t="s">
        <v>9</v>
      </c>
      <c r="E1" t="s">
        <v>11</v>
      </c>
      <c r="F1" t="s">
        <v>13</v>
      </c>
      <c r="G1" t="s">
        <v>15</v>
      </c>
      <c r="H1" t="s">
        <v>17</v>
      </c>
      <c r="I1" t="s">
        <v>19</v>
      </c>
      <c r="J1" t="s">
        <v>21</v>
      </c>
    </row>
    <row r="2" spans="1:10" x14ac:dyDescent="0.3">
      <c r="A2" t="s">
        <v>23</v>
      </c>
      <c r="B2">
        <v>0.8279370432316554</v>
      </c>
      <c r="C2">
        <v>0.84645628287246777</v>
      </c>
      <c r="D2">
        <v>0.79657908658084986</v>
      </c>
      <c r="E2">
        <v>0.85929499988246083</v>
      </c>
      <c r="F2">
        <v>0.59452729460378229</v>
      </c>
      <c r="G2">
        <v>0.68054498145037667</v>
      </c>
      <c r="H2">
        <v>0.59342462570306476</v>
      </c>
      <c r="I2">
        <v>0.58240243523055957</v>
      </c>
      <c r="J2">
        <v>0.92060928445099299</v>
      </c>
    </row>
    <row r="3" spans="1:10" x14ac:dyDescent="0.3">
      <c r="A3" t="s">
        <v>24</v>
      </c>
      <c r="B3">
        <v>0.78943318427318654</v>
      </c>
      <c r="C3">
        <v>0.89351851851851849</v>
      </c>
      <c r="D3">
        <v>0.61194029850746268</v>
      </c>
      <c r="E3">
        <v>0.96692607003891051</v>
      </c>
      <c r="F3">
        <v>0.82828282828282829</v>
      </c>
      <c r="G3">
        <v>0.70386266094420591</v>
      </c>
      <c r="H3">
        <v>0.65164115903039721</v>
      </c>
      <c r="I3">
        <v>0.64072895574197219</v>
      </c>
      <c r="J3">
        <v>0.92631685928334928</v>
      </c>
    </row>
    <row r="4" spans="1:10" x14ac:dyDescent="0.3">
      <c r="A4" t="s">
        <v>25</v>
      </c>
      <c r="B4">
        <v>0.81382138408332882</v>
      </c>
      <c r="C4">
        <v>0.79513543270768705</v>
      </c>
      <c r="D4">
        <v>0.84549462175983092</v>
      </c>
      <c r="E4">
        <v>0.78214814640682662</v>
      </c>
      <c r="F4">
        <v>0.5002442398588729</v>
      </c>
      <c r="G4">
        <v>0.62843277995579427</v>
      </c>
      <c r="H4">
        <v>0.53254850372311702</v>
      </c>
      <c r="I4">
        <v>0.49961933439515305</v>
      </c>
      <c r="J4">
        <v>0.8863327146569524</v>
      </c>
    </row>
    <row r="5" spans="1:10" x14ac:dyDescent="0.3">
      <c r="A5" t="s">
        <v>26</v>
      </c>
      <c r="B5">
        <v>0.68041117370346704</v>
      </c>
      <c r="C5">
        <v>0.85185185185185186</v>
      </c>
      <c r="D5">
        <v>0.38805970149253732</v>
      </c>
      <c r="E5">
        <v>0.97276264591439687</v>
      </c>
      <c r="F5">
        <v>0.78787878787878785</v>
      </c>
      <c r="G5">
        <v>0.51999999999999991</v>
      </c>
      <c r="H5">
        <v>0.48316328590825247</v>
      </c>
      <c r="I5">
        <v>0.44413467724640765</v>
      </c>
      <c r="J5">
        <v>0.88289099250827541</v>
      </c>
    </row>
    <row r="6" spans="1:10" x14ac:dyDescent="0.3">
      <c r="A6" t="s">
        <v>27</v>
      </c>
      <c r="B6">
        <v>0.81540741494888636</v>
      </c>
      <c r="C6">
        <v>0.79437439090618289</v>
      </c>
      <c r="D6">
        <v>0.85108446482101918</v>
      </c>
      <c r="E6">
        <v>0.77973036507675308</v>
      </c>
      <c r="F6">
        <v>0.50046866500611353</v>
      </c>
      <c r="G6">
        <v>0.6292835157550587</v>
      </c>
      <c r="H6">
        <v>0.53504470917688285</v>
      </c>
      <c r="I6">
        <v>0.50031900125331585</v>
      </c>
      <c r="J6">
        <v>0.88847636103895089</v>
      </c>
    </row>
    <row r="7" spans="1:10" x14ac:dyDescent="0.3">
      <c r="A7" t="s">
        <v>28</v>
      </c>
      <c r="B7">
        <v>0.67457459782798068</v>
      </c>
      <c r="C7">
        <v>0.84259259259259256</v>
      </c>
      <c r="D7">
        <v>0.38805970149253732</v>
      </c>
      <c r="E7">
        <v>0.96108949416342415</v>
      </c>
      <c r="F7">
        <v>0.72222222222222221</v>
      </c>
      <c r="G7">
        <v>0.50485436893203883</v>
      </c>
      <c r="H7">
        <v>0.44995337595868362</v>
      </c>
      <c r="I7">
        <v>0.42118537200504363</v>
      </c>
      <c r="J7">
        <v>0.89269121319472688</v>
      </c>
    </row>
    <row r="8" spans="1:10" x14ac:dyDescent="0.3">
      <c r="A8" t="s">
        <v>29</v>
      </c>
      <c r="B8">
        <v>0.83835423934460529</v>
      </c>
      <c r="C8">
        <v>0.80633234390459818</v>
      </c>
      <c r="D8">
        <v>0.89261153235760893</v>
      </c>
      <c r="E8">
        <v>0.78409694633160165</v>
      </c>
      <c r="F8">
        <v>0.51731438672255525</v>
      </c>
      <c r="G8">
        <v>0.65437526429106418</v>
      </c>
      <c r="H8">
        <v>0.57187389800695398</v>
      </c>
      <c r="I8">
        <v>0.53311500512673715</v>
      </c>
      <c r="J8">
        <v>0.89904565051301932</v>
      </c>
    </row>
    <row r="9" spans="1:10" x14ac:dyDescent="0.3">
      <c r="A9" t="s">
        <v>30</v>
      </c>
      <c r="B9">
        <v>0.70815668738021953</v>
      </c>
      <c r="C9">
        <v>0.85648148148148151</v>
      </c>
      <c r="D9">
        <v>0.45522388059701491</v>
      </c>
      <c r="E9">
        <v>0.96108949416342415</v>
      </c>
      <c r="F9">
        <v>0.75308641975308643</v>
      </c>
      <c r="G9">
        <v>0.56744186046511624</v>
      </c>
      <c r="H9">
        <v>0.50982400854775634</v>
      </c>
      <c r="I9">
        <v>0.48760330578512362</v>
      </c>
      <c r="J9">
        <v>0.90996863929380267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"/>
  <sheetViews>
    <sheetView workbookViewId="0"/>
  </sheetViews>
  <sheetFormatPr defaultRowHeight="14.4" x14ac:dyDescent="0.3"/>
  <cols>
    <col min="1" max="1" width="30.44140625" customWidth="1"/>
    <col min="2" max="2" width="18.109375" customWidth="1"/>
    <col min="3" max="3" width="15.88671875" customWidth="1"/>
    <col min="4" max="4" width="14.5546875" customWidth="1"/>
    <col min="5" max="5" width="13.6640625" customWidth="1"/>
    <col min="6" max="6" width="16.33203125" customWidth="1"/>
    <col min="7" max="7" width="14" customWidth="1"/>
    <col min="8" max="8" width="16.109375" customWidth="1"/>
    <col min="9" max="9" width="13.88671875" customWidth="1"/>
    <col min="10" max="10" width="15.33203125" customWidth="1"/>
    <col min="11" max="11" width="13.6640625" customWidth="1"/>
    <col min="12" max="12" width="12.6640625" customWidth="1"/>
    <col min="13" max="13" width="13.6640625" customWidth="1"/>
    <col min="14" max="14" width="12.6640625" customWidth="1"/>
    <col min="15" max="15" width="13.6640625" customWidth="1"/>
    <col min="16" max="16" width="12.6640625" customWidth="1"/>
    <col min="17" max="17" width="13.6640625" customWidth="1"/>
    <col min="18" max="18" width="12.6640625" customWidth="1"/>
    <col min="19" max="19" width="13.6640625" customWidth="1"/>
    <col min="20" max="20" width="20.109375" customWidth="1"/>
    <col min="21" max="21" width="20.6640625" customWidth="1"/>
    <col min="22" max="22" width="30.33203125" customWidth="1"/>
  </cols>
  <sheetData>
    <row r="1" spans="1:22" x14ac:dyDescent="0.3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31</v>
      </c>
      <c r="U1" t="s">
        <v>32</v>
      </c>
      <c r="V1" t="s">
        <v>33</v>
      </c>
    </row>
    <row r="2" spans="1:22" x14ac:dyDescent="0.3">
      <c r="A2" t="s">
        <v>23</v>
      </c>
      <c r="B2">
        <v>0.8279370432316554</v>
      </c>
      <c r="C2">
        <v>1.6723017186944137E-2</v>
      </c>
      <c r="D2">
        <v>0.84645628287246777</v>
      </c>
      <c r="E2">
        <v>1.6794238128706052E-2</v>
      </c>
      <c r="F2">
        <v>0.79657908658084986</v>
      </c>
      <c r="G2">
        <v>2.2036977040330526E-2</v>
      </c>
      <c r="H2">
        <v>0.85929499988246083</v>
      </c>
      <c r="I2">
        <v>1.8370245231931426E-2</v>
      </c>
      <c r="J2">
        <v>0.59452729460378229</v>
      </c>
      <c r="K2">
        <v>3.6209654030143056E-2</v>
      </c>
      <c r="L2">
        <v>0.68054498145037667</v>
      </c>
      <c r="M2">
        <v>2.8654869424621594E-2</v>
      </c>
      <c r="N2">
        <v>0.59342462570306476</v>
      </c>
      <c r="O2">
        <v>3.710464300563017E-2</v>
      </c>
      <c r="P2">
        <v>0.58240243523055957</v>
      </c>
      <c r="Q2">
        <v>3.9239774331393307E-2</v>
      </c>
      <c r="R2">
        <v>0.92060928445099299</v>
      </c>
      <c r="S2">
        <v>1.0913438031704289E-2</v>
      </c>
      <c r="T2">
        <v>4.2064400000000005E-3</v>
      </c>
      <c r="U2">
        <v>8.114401172435854E-3</v>
      </c>
      <c r="V2" t="s">
        <v>34</v>
      </c>
    </row>
    <row r="3" spans="1:22" x14ac:dyDescent="0.3">
      <c r="A3" t="s">
        <v>24</v>
      </c>
      <c r="B3">
        <v>0.78943318427318654</v>
      </c>
      <c r="D3">
        <v>0.89351851851851849</v>
      </c>
      <c r="F3">
        <v>0.61194029850746268</v>
      </c>
      <c r="H3">
        <v>0.96692607003891051</v>
      </c>
      <c r="J3">
        <v>0.82828282828282829</v>
      </c>
      <c r="L3">
        <v>0.70386266094420591</v>
      </c>
      <c r="N3">
        <v>0.65164115903039721</v>
      </c>
      <c r="P3">
        <v>0.64072895574197219</v>
      </c>
      <c r="R3">
        <v>0.92631685928334928</v>
      </c>
      <c r="T3">
        <v>6.5519999999999997E-3</v>
      </c>
      <c r="U3">
        <v>1.0111111111111111E-2</v>
      </c>
      <c r="V3" t="s">
        <v>35</v>
      </c>
    </row>
    <row r="4" spans="1:22" x14ac:dyDescent="0.3">
      <c r="A4" t="s">
        <v>25</v>
      </c>
      <c r="B4">
        <v>0.81382138408332882</v>
      </c>
      <c r="C4">
        <v>1.7504286412324141E-2</v>
      </c>
      <c r="D4">
        <v>0.79513543270768705</v>
      </c>
      <c r="E4">
        <v>1.2969693252870318E-2</v>
      </c>
      <c r="F4">
        <v>0.84549462175983092</v>
      </c>
      <c r="G4">
        <v>3.1358871548641594E-2</v>
      </c>
      <c r="H4">
        <v>0.78214814640682662</v>
      </c>
      <c r="I4">
        <v>1.3590033367767625E-2</v>
      </c>
      <c r="J4">
        <v>0.5002442398588729</v>
      </c>
      <c r="K4">
        <v>1.9287600178067035E-2</v>
      </c>
      <c r="L4">
        <v>0.62843277995579427</v>
      </c>
      <c r="M4">
        <v>2.1204283494660765E-2</v>
      </c>
      <c r="N4">
        <v>0.53254850372311702</v>
      </c>
      <c r="O4">
        <v>2.9945123896638979E-2</v>
      </c>
      <c r="P4">
        <v>0.49961933439515305</v>
      </c>
      <c r="Q4">
        <v>2.8765554013554628E-2</v>
      </c>
      <c r="R4">
        <v>0.8863327146569524</v>
      </c>
      <c r="S4">
        <v>1.6646251042111617E-2</v>
      </c>
      <c r="T4">
        <v>3.2868439999999999E-2</v>
      </c>
      <c r="U4">
        <v>6.3438660997909568E-2</v>
      </c>
      <c r="V4" t="s">
        <v>36</v>
      </c>
    </row>
    <row r="5" spans="1:22" x14ac:dyDescent="0.3">
      <c r="A5" t="s">
        <v>26</v>
      </c>
      <c r="B5">
        <v>0.68041117370346704</v>
      </c>
      <c r="D5">
        <v>0.85185185185185186</v>
      </c>
      <c r="F5">
        <v>0.38805970149253732</v>
      </c>
      <c r="H5">
        <v>0.97276264591439687</v>
      </c>
      <c r="J5">
        <v>0.78787878787878785</v>
      </c>
      <c r="L5">
        <v>0.51999999999999991</v>
      </c>
      <c r="N5">
        <v>0.48316328590825247</v>
      </c>
      <c r="P5">
        <v>0.44413467724640765</v>
      </c>
      <c r="R5">
        <v>0.88289099250827541</v>
      </c>
      <c r="T5">
        <v>7.8922999999999997E-3</v>
      </c>
      <c r="U5">
        <v>1.2179475308641975E-2</v>
      </c>
      <c r="V5" t="s">
        <v>37</v>
      </c>
    </row>
    <row r="6" spans="1:22" x14ac:dyDescent="0.3">
      <c r="A6" t="s">
        <v>27</v>
      </c>
      <c r="B6">
        <v>0.81540741494888636</v>
      </c>
      <c r="C6">
        <v>2.0654101414146312E-2</v>
      </c>
      <c r="D6">
        <v>0.79437439090618289</v>
      </c>
      <c r="E6">
        <v>1.8932685555526123E-2</v>
      </c>
      <c r="F6">
        <v>0.85108446482101918</v>
      </c>
      <c r="G6">
        <v>5.1665658097503946E-2</v>
      </c>
      <c r="H6">
        <v>0.77973036507675308</v>
      </c>
      <c r="I6">
        <v>2.9273972459399618E-2</v>
      </c>
      <c r="J6">
        <v>0.50046866500611353</v>
      </c>
      <c r="K6">
        <v>2.9451243680588095E-2</v>
      </c>
      <c r="L6">
        <v>0.6292835157550587</v>
      </c>
      <c r="M6">
        <v>2.3858758746009869E-2</v>
      </c>
      <c r="N6">
        <v>0.53504470917688285</v>
      </c>
      <c r="O6">
        <v>3.3921736019931641E-2</v>
      </c>
      <c r="P6">
        <v>0.50031900125331585</v>
      </c>
      <c r="Q6">
        <v>3.3745447741634939E-2</v>
      </c>
      <c r="R6">
        <v>0.88847636103895089</v>
      </c>
      <c r="S6">
        <v>1.5323777258385077E-2</v>
      </c>
      <c r="T6">
        <v>7.9334400000000017E-3</v>
      </c>
      <c r="U6">
        <v>1.5307146651192894E-2</v>
      </c>
      <c r="V6" t="s">
        <v>38</v>
      </c>
    </row>
    <row r="7" spans="1:22" x14ac:dyDescent="0.3">
      <c r="A7" t="s">
        <v>28</v>
      </c>
      <c r="B7">
        <v>0.67457459782798068</v>
      </c>
      <c r="D7">
        <v>0.84259259259259256</v>
      </c>
      <c r="F7">
        <v>0.38805970149253732</v>
      </c>
      <c r="H7">
        <v>0.96108949416342415</v>
      </c>
      <c r="J7">
        <v>0.72222222222222221</v>
      </c>
      <c r="L7">
        <v>0.50485436893203883</v>
      </c>
      <c r="N7">
        <v>0.44995337595868362</v>
      </c>
      <c r="P7">
        <v>0.42118537200504363</v>
      </c>
      <c r="R7">
        <v>0.89269121319472688</v>
      </c>
      <c r="T7">
        <v>7.1192E-3</v>
      </c>
      <c r="U7">
        <v>1.098641975308642E-2</v>
      </c>
      <c r="V7" t="s">
        <v>39</v>
      </c>
    </row>
    <row r="8" spans="1:22" x14ac:dyDescent="0.3">
      <c r="A8" t="s">
        <v>29</v>
      </c>
      <c r="B8">
        <v>0.83835423934460529</v>
      </c>
      <c r="C8">
        <v>1.6331324951322879E-2</v>
      </c>
      <c r="D8">
        <v>0.80633234390459818</v>
      </c>
      <c r="E8">
        <v>2.0614051268122217E-2</v>
      </c>
      <c r="F8">
        <v>0.89261153235760893</v>
      </c>
      <c r="G8">
        <v>3.1149722771559623E-2</v>
      </c>
      <c r="H8">
        <v>0.78409694633160165</v>
      </c>
      <c r="I8">
        <v>2.7971965714601799E-2</v>
      </c>
      <c r="J8">
        <v>0.51731438672255525</v>
      </c>
      <c r="K8">
        <v>3.1144044514456831E-2</v>
      </c>
      <c r="L8">
        <v>0.65437526429106418</v>
      </c>
      <c r="M8">
        <v>2.5399929635958735E-2</v>
      </c>
      <c r="N8">
        <v>0.57187389800695398</v>
      </c>
      <c r="O8">
        <v>3.2019766908740477E-2</v>
      </c>
      <c r="P8">
        <v>0.53311500512673715</v>
      </c>
      <c r="Q8">
        <v>3.6917324190425316E-2</v>
      </c>
      <c r="R8">
        <v>0.89904565051301932</v>
      </c>
      <c r="S8">
        <v>1.2890731227731524E-2</v>
      </c>
      <c r="T8">
        <v>4.7427200000000006E-3</v>
      </c>
      <c r="U8">
        <v>9.1497851526175233E-3</v>
      </c>
      <c r="V8" t="s">
        <v>40</v>
      </c>
    </row>
    <row r="9" spans="1:22" x14ac:dyDescent="0.3">
      <c r="A9" t="s">
        <v>30</v>
      </c>
      <c r="B9">
        <v>0.70815668738021953</v>
      </c>
      <c r="D9">
        <v>0.85648148148148151</v>
      </c>
      <c r="F9">
        <v>0.45522388059701491</v>
      </c>
      <c r="H9">
        <v>0.96108949416342415</v>
      </c>
      <c r="J9">
        <v>0.75308641975308643</v>
      </c>
      <c r="L9">
        <v>0.56744186046511624</v>
      </c>
      <c r="N9">
        <v>0.50982400854775634</v>
      </c>
      <c r="P9">
        <v>0.48760330578512362</v>
      </c>
      <c r="R9">
        <v>0.90996863929380267</v>
      </c>
      <c r="T9">
        <v>6.3692999999999996E-3</v>
      </c>
      <c r="U9">
        <v>9.8291666666666649E-3</v>
      </c>
      <c r="V9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AF23B-EDE9-4FDB-A8AA-77B29C40917B}">
  <dimension ref="A1:I14"/>
  <sheetViews>
    <sheetView tabSelected="1" workbookViewId="0">
      <selection activeCell="B20" sqref="B20"/>
    </sheetView>
  </sheetViews>
  <sheetFormatPr defaultRowHeight="14.4" x14ac:dyDescent="0.3"/>
  <cols>
    <col min="1" max="1" width="15.21875" customWidth="1"/>
    <col min="2" max="9" width="12.5546875" customWidth="1"/>
  </cols>
  <sheetData>
    <row r="1" spans="1:9" ht="45" customHeight="1" x14ac:dyDescent="0.3">
      <c r="A1" s="15" t="s">
        <v>58</v>
      </c>
      <c r="B1" s="15" t="s">
        <v>50</v>
      </c>
      <c r="C1" s="15" t="s">
        <v>51</v>
      </c>
      <c r="D1" s="15" t="s">
        <v>53</v>
      </c>
      <c r="E1" s="15" t="s">
        <v>52</v>
      </c>
      <c r="F1" s="15" t="s">
        <v>54</v>
      </c>
      <c r="G1" s="15" t="s">
        <v>55</v>
      </c>
      <c r="H1" s="15" t="s">
        <v>56</v>
      </c>
      <c r="I1" s="15" t="s">
        <v>57</v>
      </c>
    </row>
    <row r="2" spans="1:9" x14ac:dyDescent="0.3">
      <c r="A2" s="2" t="s">
        <v>42</v>
      </c>
      <c r="B2" s="3">
        <v>0.81382138408332882</v>
      </c>
      <c r="C2" s="3">
        <v>0.84549462175983092</v>
      </c>
      <c r="D2" s="3">
        <v>0.78214814640682662</v>
      </c>
      <c r="E2" s="3">
        <v>0.5002442398588729</v>
      </c>
      <c r="F2" s="3">
        <v>0.62843277995579427</v>
      </c>
      <c r="G2" s="3">
        <v>0.53254850372311702</v>
      </c>
      <c r="H2" s="3">
        <v>0.49961933439515305</v>
      </c>
      <c r="I2" s="3">
        <v>0.8863327146569524</v>
      </c>
    </row>
    <row r="3" spans="1:9" x14ac:dyDescent="0.3">
      <c r="A3" s="2" t="s">
        <v>43</v>
      </c>
      <c r="B3" s="3">
        <v>0.81540741494888636</v>
      </c>
      <c r="C3" s="3">
        <v>0.85108446482101918</v>
      </c>
      <c r="D3" s="3">
        <v>0.77973036507675308</v>
      </c>
      <c r="E3" s="3">
        <v>0.50046866500611353</v>
      </c>
      <c r="F3" s="3">
        <v>0.6292835157550587</v>
      </c>
      <c r="G3" s="3">
        <v>0.53504470917688285</v>
      </c>
      <c r="H3" s="3">
        <v>0.50031900125331585</v>
      </c>
      <c r="I3" s="3">
        <v>0.88847636103895089</v>
      </c>
    </row>
    <row r="4" spans="1:9" x14ac:dyDescent="0.3">
      <c r="A4" s="2" t="s">
        <v>44</v>
      </c>
      <c r="B4" s="3">
        <v>0.83835423934460529</v>
      </c>
      <c r="C4" s="3">
        <v>0.89261153235760893</v>
      </c>
      <c r="D4" s="3">
        <v>0.78409694633160165</v>
      </c>
      <c r="E4" s="3">
        <v>0.51731438672255525</v>
      </c>
      <c r="F4" s="3">
        <v>0.65437526429106418</v>
      </c>
      <c r="G4" s="3">
        <v>0.57187389800695398</v>
      </c>
      <c r="H4" s="3">
        <v>0.53311500512673715</v>
      </c>
      <c r="I4" s="3">
        <v>0.89904565051301932</v>
      </c>
    </row>
    <row r="5" spans="1:9" ht="15" thickBot="1" x14ac:dyDescent="0.35">
      <c r="A5" s="4" t="s">
        <v>45</v>
      </c>
      <c r="B5" s="5">
        <v>0.8279370432316554</v>
      </c>
      <c r="C5" s="5">
        <v>0.79657908658084986</v>
      </c>
      <c r="D5" s="5">
        <v>0.85929499988246083</v>
      </c>
      <c r="E5" s="5">
        <v>0.59452729460378229</v>
      </c>
      <c r="F5" s="5">
        <v>0.68054498145037667</v>
      </c>
      <c r="G5" s="5">
        <v>0.59342462570306476</v>
      </c>
      <c r="H5" s="5">
        <v>0.58240243523055957</v>
      </c>
      <c r="I5" s="5">
        <v>0.92060928445099299</v>
      </c>
    </row>
    <row r="6" spans="1:9" x14ac:dyDescent="0.3">
      <c r="A6" s="6" t="s">
        <v>47</v>
      </c>
      <c r="B6" s="7">
        <f>MAX(B2:B5)</f>
        <v>0.83835423934460529</v>
      </c>
      <c r="C6" s="7">
        <f>MAX(C2:C5)</f>
        <v>0.89261153235760893</v>
      </c>
      <c r="D6" s="7">
        <f>MAX(D2:D5)</f>
        <v>0.85929499988246083</v>
      </c>
      <c r="E6" s="7">
        <f>MAX(E2:E5)</f>
        <v>0.59452729460378229</v>
      </c>
      <c r="F6" s="7">
        <f>MAX(F2:F5)</f>
        <v>0.68054498145037667</v>
      </c>
      <c r="G6" s="7">
        <f>MAX(G2:G5)</f>
        <v>0.59342462570306476</v>
      </c>
      <c r="H6" s="7">
        <f>MAX(H2:H5)</f>
        <v>0.58240243523055957</v>
      </c>
      <c r="I6" s="8">
        <f>MAX(I2:I5)</f>
        <v>0.92060928445099299</v>
      </c>
    </row>
    <row r="7" spans="1:9" x14ac:dyDescent="0.3">
      <c r="A7" s="9" t="s">
        <v>48</v>
      </c>
      <c r="B7" s="3">
        <f>LARGE(B2:B5, 2)</f>
        <v>0.8279370432316554</v>
      </c>
      <c r="C7" s="3">
        <f>C5</f>
        <v>0.79657908658084986</v>
      </c>
      <c r="D7" s="3">
        <f>LARGE(D2:D5, 2)</f>
        <v>0.78409694633160165</v>
      </c>
      <c r="E7" s="3">
        <f>LARGE(E2:E5, 2)</f>
        <v>0.51731438672255525</v>
      </c>
      <c r="F7" s="3">
        <f>LARGE(F2:F5, 2)</f>
        <v>0.65437526429106418</v>
      </c>
      <c r="G7" s="3">
        <f>LARGE(G2:G5, 2)</f>
        <v>0.57187389800695398</v>
      </c>
      <c r="H7" s="3">
        <f>LARGE(H2:H5, 2)</f>
        <v>0.53311500512673715</v>
      </c>
      <c r="I7" s="10">
        <f>LARGE(I2:I5, 2)</f>
        <v>0.89904565051301932</v>
      </c>
    </row>
    <row r="8" spans="1:9" x14ac:dyDescent="0.3">
      <c r="A8" s="9" t="s">
        <v>49</v>
      </c>
      <c r="B8" s="3">
        <f>B6-B7</f>
        <v>1.0417196112949889E-2</v>
      </c>
      <c r="C8" s="3">
        <f t="shared" ref="C8:I8" si="0">C6-C7</f>
        <v>9.6032445776759068E-2</v>
      </c>
      <c r="D8" s="3">
        <f t="shared" si="0"/>
        <v>7.5198053550859179E-2</v>
      </c>
      <c r="E8" s="3">
        <f t="shared" si="0"/>
        <v>7.7212907881227033E-2</v>
      </c>
      <c r="F8" s="3">
        <f t="shared" si="0"/>
        <v>2.6169717159312489E-2</v>
      </c>
      <c r="G8" s="3">
        <f t="shared" si="0"/>
        <v>2.1550727696110772E-2</v>
      </c>
      <c r="H8" s="3">
        <f t="shared" si="0"/>
        <v>4.9287430103822416E-2</v>
      </c>
      <c r="I8" s="10">
        <f t="shared" si="0"/>
        <v>2.156363393797367E-2</v>
      </c>
    </row>
    <row r="9" spans="1:9" ht="15" thickBot="1" x14ac:dyDescent="0.35">
      <c r="A9" s="11" t="s">
        <v>46</v>
      </c>
      <c r="B9" s="12">
        <f>B8/B7*100</f>
        <v>1.2582111403409177</v>
      </c>
      <c r="C9" s="12">
        <f t="shared" ref="C9:I9" si="1">C8/C7*100</f>
        <v>12.055607207685853</v>
      </c>
      <c r="D9" s="13">
        <f t="shared" si="1"/>
        <v>9.5904025519641856</v>
      </c>
      <c r="E9" s="13">
        <f t="shared" si="1"/>
        <v>14.925722126231463</v>
      </c>
      <c r="F9" s="13">
        <f t="shared" si="1"/>
        <v>3.9991910738961365</v>
      </c>
      <c r="G9" s="13">
        <f t="shared" si="1"/>
        <v>3.7684405200547757</v>
      </c>
      <c r="H9" s="13">
        <f t="shared" si="1"/>
        <v>9.2451778002581904</v>
      </c>
      <c r="I9" s="14">
        <f t="shared" si="1"/>
        <v>2.3985026706562551</v>
      </c>
    </row>
    <row r="11" spans="1:9" x14ac:dyDescent="0.3">
      <c r="A11" s="16" t="s">
        <v>59</v>
      </c>
    </row>
    <row r="12" spans="1:9" x14ac:dyDescent="0.3">
      <c r="A12" s="1" t="s">
        <v>62</v>
      </c>
    </row>
    <row r="13" spans="1:9" x14ac:dyDescent="0.3">
      <c r="A13" s="1" t="s">
        <v>61</v>
      </c>
    </row>
    <row r="14" spans="1:9" x14ac:dyDescent="0.3">
      <c r="A14" s="17" t="s">
        <v>60</v>
      </c>
    </row>
  </sheetData>
  <conditionalFormatting sqref="B2:B5">
    <cfRule type="cellIs" dxfId="25" priority="29" operator="equal">
      <formula>$B$7</formula>
    </cfRule>
    <cfRule type="top10" dxfId="24" priority="30" rank="1"/>
  </conditionalFormatting>
  <conditionalFormatting sqref="C2:C5">
    <cfRule type="cellIs" dxfId="20" priority="34" operator="equal">
      <formula>$C$7</formula>
    </cfRule>
    <cfRule type="cellIs" dxfId="19" priority="35" operator="equal">
      <formula>$B$7</formula>
    </cfRule>
    <cfRule type="top10" dxfId="18" priority="36" rank="1"/>
  </conditionalFormatting>
  <conditionalFormatting sqref="D2:D5">
    <cfRule type="cellIs" dxfId="17" priority="37" operator="equal">
      <formula>$D$7</formula>
    </cfRule>
    <cfRule type="cellIs" dxfId="16" priority="38" operator="equal">
      <formula>$B$7</formula>
    </cfRule>
    <cfRule type="top10" dxfId="15" priority="39" rank="1"/>
  </conditionalFormatting>
  <conditionalFormatting sqref="E2:E5">
    <cfRule type="cellIs" dxfId="14" priority="40" operator="equal">
      <formula>$E$7</formula>
    </cfRule>
    <cfRule type="cellIs" dxfId="13" priority="41" operator="equal">
      <formula>$B$7</formula>
    </cfRule>
    <cfRule type="top10" dxfId="12" priority="42" rank="1"/>
  </conditionalFormatting>
  <conditionalFormatting sqref="F2:F5">
    <cfRule type="cellIs" dxfId="11" priority="43" operator="equal">
      <formula>$F$7</formula>
    </cfRule>
    <cfRule type="cellIs" dxfId="10" priority="44" operator="equal">
      <formula>$B$7</formula>
    </cfRule>
    <cfRule type="top10" dxfId="9" priority="45" rank="1"/>
  </conditionalFormatting>
  <conditionalFormatting sqref="G2:G5">
    <cfRule type="cellIs" dxfId="8" priority="46" operator="equal">
      <formula>$G$7</formula>
    </cfRule>
    <cfRule type="cellIs" dxfId="7" priority="47" operator="equal">
      <formula>$B$7</formula>
    </cfRule>
    <cfRule type="top10" dxfId="6" priority="48" rank="1"/>
  </conditionalFormatting>
  <conditionalFormatting sqref="H2:H5">
    <cfRule type="cellIs" dxfId="5" priority="49" operator="equal">
      <formula>$H$7</formula>
    </cfRule>
    <cfRule type="cellIs" dxfId="4" priority="50" operator="equal">
      <formula>$B$7</formula>
    </cfRule>
    <cfRule type="top10" dxfId="3" priority="51" rank="1"/>
  </conditionalFormatting>
  <conditionalFormatting sqref="I2:I5">
    <cfRule type="cellIs" dxfId="2" priority="52" operator="equal">
      <formula>$I$7</formula>
    </cfRule>
    <cfRule type="cellIs" dxfId="1" priority="53" operator="equal">
      <formula>$B$7</formula>
    </cfRule>
    <cfRule type="top10" dxfId="0" priority="54" rank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CV_MeanSD</vt:lpstr>
      <vt:lpstr>CV_test_Mean</vt:lpstr>
      <vt:lpstr>pub_results</vt:lpstr>
      <vt:lpstr>comparisonCV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KASHAN SIDDIQUI</cp:lastModifiedBy>
  <dcterms:modified xsi:type="dcterms:W3CDTF">2026-10-20T08:03:03Z</dcterms:modified>
</cp:coreProperties>
</file>