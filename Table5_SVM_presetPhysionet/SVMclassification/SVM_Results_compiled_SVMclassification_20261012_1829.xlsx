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5_SVM_presetPhysionet\SVMclassification\"/>
    </mc:Choice>
  </mc:AlternateContent>
  <xr:revisionPtr revIDLastSave="0" documentId="13_ncr:1_{C7ED7603-53BA-4C59-8F2E-CEF546FE230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V_MeanSD" sheetId="2" r:id="rId1"/>
    <sheet name="CV_test_Mean" sheetId="3" r:id="rId2"/>
    <sheet name="pub_SVMresults" sheetId="4" r:id="rId3"/>
    <sheet name="Sheet2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B10" i="6"/>
  <c r="B11" i="6"/>
  <c r="B12" i="6"/>
  <c r="B13" i="6"/>
  <c r="B14" i="6"/>
  <c r="B9" i="6"/>
</calcChain>
</file>

<file path=xl/sharedStrings.xml><?xml version="1.0" encoding="utf-8"?>
<sst xmlns="http://schemas.openxmlformats.org/spreadsheetml/2006/main" count="154" uniqueCount="119">
  <si>
    <t>filename</t>
  </si>
  <si>
    <t>SVM_Results_combinedPresetPhysionet_20261012_182637</t>
  </si>
  <si>
    <t>SVM_Results_gemapsPresetPhysionet_20261012_182803</t>
  </si>
  <si>
    <t>SVM_Results_shenPresetPhysionet_20261012_182841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</si>
  <si>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</si>
  <si>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</si>
  <si>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</si>
  <si>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</si>
  <si>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</si>
  <si>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</si>
  <si>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</si>
  <si>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</si>
  <si>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</si>
  <si>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</si>
  <si>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</si>
  <si>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</si>
  <si>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</si>
  <si>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</si>
  <si>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</si>
  <si>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</si>
  <si>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</si>
  <si>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</si>
  <si>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</si>
  <si>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SVM_Results_combinedPresetPhysionet_20261012_182637_CV</t>
  </si>
  <si>
    <t>SVM_Results_combinedPresetPhysionet_20261012_182637_Test</t>
  </si>
  <si>
    <t>SVM_Results_gemapsPresetPhysionet_20261012_182803_CV</t>
  </si>
  <si>
    <t>SVM_Results_gemapsPresetPhysionet_20261012_182803_Test</t>
  </si>
  <si>
    <t>SVM_Results_shenPresetPhysionet_20261012_182841_CV</t>
  </si>
  <si>
    <t>SVM_Results_shenPresetPhysionet_20261012_182841_Test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</si>
  <si>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</si>
  <si>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</si>
  <si>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</si>
  <si>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</si>
  <si>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</si>
  <si>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</si>
  <si>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</si>
  <si>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</si>
  <si>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</si>
  <si>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</si>
  <si>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SVM_Results_combinedPresetPhysionet_20261012_182637_CV</t>
  </si>
  <si>
    <t>SVM_Results_combinedPresetPhysionet_20261012_182637_Test</t>
  </si>
  <si>
    <t>SVM_Results_gemapsPresetPhysionet_20261012_182803_CV</t>
  </si>
  <si>
    <t>SVM_Results_gemapsPresetPhysionet_20261012_182803_Test</t>
  </si>
  <si>
    <t>SVM_Results_shenPresetPhysionet_20261012_182841_CV</t>
  </si>
  <si>
    <t>SVM_Results_shenPresetPhysionet_20261012_182841_Test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</si>
  <si>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</si>
  <si>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</si>
  <si>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</si>
  <si>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</si>
  <si>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</si>
  <si>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</si>
  <si>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</si>
  <si>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</si>
  <si>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</si>
  <si>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</si>
  <si>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</si>
  <si>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</si>
  <si>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</si>
  <si>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</si>
  <si>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</si>
  <si>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</si>
  <si>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</si>
  <si>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</si>
  <si>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</si>
  <si>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</si>
  <si>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</si>
  <si>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TN=1592, FP=252, FN=50, TP=408</t>
  </si>
  <si>
    <t>TN=411, FP=49, FN=13, TP=101</t>
  </si>
  <si>
    <t>TN=1546, FP=298, FN=59, TP=399</t>
  </si>
  <si>
    <t>TN=403, FP=57, FN=14, TP=100</t>
  </si>
  <si>
    <t>TN=1555, FP=289, FN=53, TP=405</t>
  </si>
  <si>
    <t>TN=403, FP=57, FN=15, TP=99</t>
  </si>
  <si>
    <t>0.8638 ± 0.0303</t>
  </si>
  <si>
    <t>0.8723 ± 0.0000</t>
  </si>
  <si>
    <t>0.8547 ± 0.0258</t>
  </si>
  <si>
    <t>0.8766 ± 0.0000</t>
  </si>
  <si>
    <t>0.8771 ± 0.0279</t>
  </si>
  <si>
    <t>0.8897 ± 0.0000</t>
  </si>
  <si>
    <t>0.8843 ± 0.0753</t>
  </si>
  <si>
    <t>0.8684 ± 0.0000</t>
  </si>
  <si>
    <t>0.8712 ± 0.0528</t>
  </si>
  <si>
    <t>0.8772 ± 0.0000</t>
  </si>
  <si>
    <t>0.8908 ± 0.0589</t>
  </si>
  <si>
    <t>0.8860 ± 0.0000</t>
  </si>
  <si>
    <t>0.8432 ± 0.0793</t>
  </si>
  <si>
    <t>0.8761 ± 0.0000</t>
  </si>
  <si>
    <t>0.8383 ± 0.0822</t>
  </si>
  <si>
    <t>0.8634 ± 0.0555</t>
  </si>
  <si>
    <t>0.8935 ± 0.0000</t>
  </si>
  <si>
    <t>0.6052 ± 0.1039</t>
  </si>
  <si>
    <t>0.6346 ± 0.0000</t>
  </si>
  <si>
    <t>0.6018 ± 0.1405</t>
  </si>
  <si>
    <t>0.6369 ± 0.0000</t>
  </si>
  <si>
    <t>0.6328 ± 0.0965</t>
  </si>
  <si>
    <t>0.6733 ± 0.0000</t>
  </si>
  <si>
    <t>0.7101 ± 0.0645</t>
  </si>
  <si>
    <t>0.7333 ± 0.0000</t>
  </si>
  <si>
    <t>0.7006 ± 0.0790</t>
  </si>
  <si>
    <t>0.7380 ± 0.0000</t>
  </si>
  <si>
    <t>0.7342 ± 0.0590</t>
  </si>
  <si>
    <t>0.7652 ± 0.0000</t>
  </si>
  <si>
    <t>0.6448 ± 0.0743</t>
  </si>
  <si>
    <t>0.6677 ± 0.0000</t>
  </si>
  <si>
    <t>0.6317 ± 0.0945</t>
  </si>
  <si>
    <t>0.6742 ± 0.0000</t>
  </si>
  <si>
    <t>0.6733 ± 0.0709</t>
  </si>
  <si>
    <t>0.7078 ± 0.0000</t>
  </si>
  <si>
    <t>0.6181 ± 0.0949</t>
  </si>
  <si>
    <t>0.6539 ± 0.0000</t>
  </si>
  <si>
    <t>0.6044 ± 0.1135</t>
  </si>
  <si>
    <t>0.6597 ± 0.0000</t>
  </si>
  <si>
    <t>0.6520 ± 0.0830</t>
  </si>
  <si>
    <t>0.6967 ± 0.0000</t>
  </si>
  <si>
    <t>0.9306 ± 0.0195</t>
  </si>
  <si>
    <t>0.9445 ± 0.0000</t>
  </si>
  <si>
    <t>0.9203 ± 0.0195</t>
  </si>
  <si>
    <t>0.9485 ± 0.0000</t>
  </si>
  <si>
    <t>0.9388 ± 0.0179</t>
  </si>
  <si>
    <t>0.9551 ±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</si>
</sst>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defaultRowHeight="15" x14ac:dyDescent="0.25"/>
  <cols>
    <col min="1" max="1" width="53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0.8770910040475256</v>
      </c>
      <c r="C2">
        <v>2.793431075787688E-2</v>
      </c>
      <c r="D2">
        <v>0.8687991718426501</v>
      </c>
      <c r="E2">
        <v>3.9575037687200762E-2</v>
      </c>
      <c r="F2">
        <v>0.89082125603864726</v>
      </c>
      <c r="G2">
        <v>5.8878652406638761E-2</v>
      </c>
      <c r="H2">
        <v>0.86336075205640428</v>
      </c>
      <c r="I2">
        <v>5.5467750242842777E-2</v>
      </c>
      <c r="J2">
        <v>0.63277496655033993</v>
      </c>
      <c r="K2">
        <v>9.6531645747605366E-2</v>
      </c>
      <c r="L2">
        <v>0.73422579655684295</v>
      </c>
      <c r="M2">
        <v>5.9032085917519524E-2</v>
      </c>
      <c r="N2">
        <v>0.67327791786787172</v>
      </c>
      <c r="O2">
        <v>7.0948312577838318E-2</v>
      </c>
      <c r="P2">
        <v>0.6520042902124028</v>
      </c>
      <c r="Q2">
        <v>8.2960446874951119E-2</v>
      </c>
      <c r="R2">
        <v>0.93877541199044001</v>
      </c>
      <c r="S2">
        <v>1.7863836420979311E-2</v>
      </c>
    </row>
    <row r="3" spans="1:19" x14ac:dyDescent="0.25">
      <c r="A3" t="s">
        <v>2</v>
      </c>
      <c r="B3">
        <v>0.8547395221308266</v>
      </c>
      <c r="C3">
        <v>2.5753905849926002E-2</v>
      </c>
      <c r="D3">
        <v>0.84487295313382271</v>
      </c>
      <c r="E3">
        <v>5.7775971800664641E-2</v>
      </c>
      <c r="F3">
        <v>0.87115942028985516</v>
      </c>
      <c r="G3">
        <v>5.2790068594451275E-2</v>
      </c>
      <c r="H3">
        <v>0.83831962397179771</v>
      </c>
      <c r="I3">
        <v>8.2188320925879049E-2</v>
      </c>
      <c r="J3">
        <v>0.60182378751641719</v>
      </c>
      <c r="K3">
        <v>0.14049542159744771</v>
      </c>
      <c r="L3">
        <v>0.70058963079105863</v>
      </c>
      <c r="M3">
        <v>7.8977715421439443E-2</v>
      </c>
      <c r="N3">
        <v>0.63168080655226111</v>
      </c>
      <c r="O3">
        <v>9.453957185730627E-2</v>
      </c>
      <c r="P3">
        <v>0.60442838515894781</v>
      </c>
      <c r="Q3">
        <v>0.11351003683028162</v>
      </c>
      <c r="R3">
        <v>0.92031340508750714</v>
      </c>
      <c r="S3">
        <v>1.9466295238355226E-2</v>
      </c>
    </row>
    <row r="4" spans="1:19" x14ac:dyDescent="0.25">
      <c r="A4" t="s">
        <v>3</v>
      </c>
      <c r="B4">
        <v>0.86375375375375363</v>
      </c>
      <c r="C4">
        <v>3.0336207779555105E-2</v>
      </c>
      <c r="D4">
        <v>0.85138339920948614</v>
      </c>
      <c r="E4">
        <v>5.4117271530548086E-2</v>
      </c>
      <c r="F4">
        <v>0.8842995169082124</v>
      </c>
      <c r="G4">
        <v>7.5301822064769638E-2</v>
      </c>
      <c r="H4">
        <v>0.84320799059929497</v>
      </c>
      <c r="I4">
        <v>7.926122345128149E-2</v>
      </c>
      <c r="J4">
        <v>0.60516144105077818</v>
      </c>
      <c r="K4">
        <v>0.10393110913966043</v>
      </c>
      <c r="L4">
        <v>0.71009665553487744</v>
      </c>
      <c r="M4">
        <v>6.4523139605471236E-2</v>
      </c>
      <c r="N4">
        <v>0.64480674816463912</v>
      </c>
      <c r="O4">
        <v>7.4282606716992619E-2</v>
      </c>
      <c r="P4">
        <v>0.61805526267645972</v>
      </c>
      <c r="Q4">
        <v>9.4915031974764752E-2</v>
      </c>
      <c r="R4">
        <v>0.93055068348121261</v>
      </c>
      <c r="S4">
        <v>1.9473507081750295E-2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57.710937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10" width="12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0.8770910040475256</v>
      </c>
      <c r="C2">
        <v>0.8687991718426501</v>
      </c>
      <c r="D2">
        <v>0.89082125603864726</v>
      </c>
      <c r="E2">
        <v>0.86336075205640428</v>
      </c>
      <c r="F2">
        <v>0.63277496655033993</v>
      </c>
      <c r="G2">
        <v>0.73422579655684295</v>
      </c>
      <c r="H2">
        <v>0.67327791786787172</v>
      </c>
      <c r="I2">
        <v>0.6520042902124028</v>
      </c>
      <c r="J2">
        <v>0.93877541199044001</v>
      </c>
    </row>
    <row r="3" spans="1:10" x14ac:dyDescent="0.25">
      <c r="A3" t="s">
        <v>24</v>
      </c>
      <c r="B3">
        <v>0.88972158657513345</v>
      </c>
      <c r="C3">
        <v>0.89198606271777003</v>
      </c>
      <c r="D3">
        <v>0.88596491228070173</v>
      </c>
      <c r="E3">
        <v>0.89347826086956517</v>
      </c>
      <c r="F3">
        <v>0.67333333333333334</v>
      </c>
      <c r="G3">
        <v>0.76515151515151503</v>
      </c>
      <c r="H3">
        <v>0.70776199961773401</v>
      </c>
      <c r="I3">
        <v>0.696700074998295</v>
      </c>
      <c r="J3">
        <v>0.95514874141876427</v>
      </c>
    </row>
    <row r="4" spans="1:10" x14ac:dyDescent="0.25">
      <c r="A4" t="s">
        <v>25</v>
      </c>
      <c r="B4">
        <v>0.8547395221308266</v>
      </c>
      <c r="C4">
        <v>0.84487295313382271</v>
      </c>
      <c r="D4">
        <v>0.87115942028985516</v>
      </c>
      <c r="E4">
        <v>0.83831962397179771</v>
      </c>
      <c r="F4">
        <v>0.60182378751641719</v>
      </c>
      <c r="G4">
        <v>0.70058963079105863</v>
      </c>
      <c r="H4">
        <v>0.63168080655226111</v>
      </c>
      <c r="I4">
        <v>0.60442838515894781</v>
      </c>
      <c r="J4">
        <v>0.92031340508750714</v>
      </c>
    </row>
    <row r="5" spans="1:10" x14ac:dyDescent="0.25">
      <c r="A5" t="s">
        <v>26</v>
      </c>
      <c r="B5">
        <v>0.87663996948893974</v>
      </c>
      <c r="C5">
        <v>0.87630662020905925</v>
      </c>
      <c r="D5">
        <v>0.8771929824561403</v>
      </c>
      <c r="E5">
        <v>0.87608695652173918</v>
      </c>
      <c r="F5">
        <v>0.63694267515923564</v>
      </c>
      <c r="G5">
        <v>0.73800738007380051</v>
      </c>
      <c r="H5">
        <v>0.67417072430199454</v>
      </c>
      <c r="I5">
        <v>0.65969705572905324</v>
      </c>
      <c r="J5">
        <v>0.94847444698703276</v>
      </c>
    </row>
    <row r="6" spans="1:10" x14ac:dyDescent="0.25">
      <c r="A6" t="s">
        <v>27</v>
      </c>
      <c r="B6">
        <v>0.86375375375375363</v>
      </c>
      <c r="C6">
        <v>0.85138339920948614</v>
      </c>
      <c r="D6">
        <v>0.8842995169082124</v>
      </c>
      <c r="E6">
        <v>0.84320799059929497</v>
      </c>
      <c r="F6">
        <v>0.60516144105077818</v>
      </c>
      <c r="G6">
        <v>0.71009665553487744</v>
      </c>
      <c r="H6">
        <v>0.64480674816463912</v>
      </c>
      <c r="I6">
        <v>0.61805526267645972</v>
      </c>
      <c r="J6">
        <v>0.93055068348121261</v>
      </c>
    </row>
    <row r="7" spans="1:10" x14ac:dyDescent="0.25">
      <c r="A7" t="s">
        <v>28</v>
      </c>
      <c r="B7">
        <v>0.87225400457665914</v>
      </c>
      <c r="C7">
        <v>0.87456445993031362</v>
      </c>
      <c r="D7">
        <v>0.86842105263157898</v>
      </c>
      <c r="E7">
        <v>0.87608695652173918</v>
      </c>
      <c r="F7">
        <v>0.63461538461538458</v>
      </c>
      <c r="G7">
        <v>0.73333333333333317</v>
      </c>
      <c r="H7">
        <v>0.66765218638990897</v>
      </c>
      <c r="I7">
        <v>0.65390413023816674</v>
      </c>
      <c r="J7">
        <v>0.94448893974065606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abSelected="1" topLeftCell="K1" workbookViewId="0">
      <selection activeCell="T2" sqref="T2:U7"/>
    </sheetView>
  </sheetViews>
  <sheetFormatPr defaultRowHeight="15" x14ac:dyDescent="0.25"/>
  <cols>
    <col min="1" max="1" width="57.710937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  <col min="20" max="20" width="20.140625" customWidth="1"/>
    <col min="21" max="21" width="20.7109375" customWidth="1"/>
    <col min="22" max="22" width="29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43</v>
      </c>
      <c r="B2">
        <v>0.86375375375375363</v>
      </c>
      <c r="C2">
        <v>3.0336207779555105E-2</v>
      </c>
      <c r="D2">
        <v>0.85138339920948614</v>
      </c>
      <c r="E2">
        <v>5.4117271530548086E-2</v>
      </c>
      <c r="F2">
        <v>0.8842995169082124</v>
      </c>
      <c r="G2">
        <v>7.5301822064769638E-2</v>
      </c>
      <c r="H2">
        <v>0.84320799059929497</v>
      </c>
      <c r="I2">
        <v>7.926122345128149E-2</v>
      </c>
      <c r="J2">
        <v>0.60516144105077818</v>
      </c>
      <c r="K2">
        <v>0.10393110913966043</v>
      </c>
      <c r="L2">
        <v>0.71009665553487744</v>
      </c>
      <c r="M2">
        <v>6.4523139605471236E-2</v>
      </c>
      <c r="N2">
        <v>0.64480674816463912</v>
      </c>
      <c r="O2">
        <v>7.4282606716992619E-2</v>
      </c>
      <c r="P2">
        <v>0.61805526267645972</v>
      </c>
      <c r="Q2">
        <v>9.4915031974764752E-2</v>
      </c>
      <c r="R2">
        <v>0.93055068348121261</v>
      </c>
      <c r="S2">
        <v>1.9473507081750295E-2</v>
      </c>
      <c r="T2" s="1">
        <v>4.6220899999999995E-2</v>
      </c>
      <c r="U2" s="1">
        <v>0.20076791906644081</v>
      </c>
      <c r="V2" t="s">
        <v>70</v>
      </c>
    </row>
    <row r="3" spans="1:22" x14ac:dyDescent="0.25">
      <c r="A3" t="s">
        <v>44</v>
      </c>
      <c r="B3">
        <v>0.87225400457665914</v>
      </c>
      <c r="D3">
        <v>0.87456445993031362</v>
      </c>
      <c r="F3">
        <v>0.86842105263157898</v>
      </c>
      <c r="H3">
        <v>0.87608695652173918</v>
      </c>
      <c r="J3">
        <v>0.63461538461538458</v>
      </c>
      <c r="L3">
        <v>0.73333333333333317</v>
      </c>
      <c r="N3">
        <v>0.66765218638990897</v>
      </c>
      <c r="P3">
        <v>0.65390413023816674</v>
      </c>
      <c r="R3">
        <v>0.94448893974065606</v>
      </c>
      <c r="T3" s="1">
        <v>0.64090800000000003</v>
      </c>
      <c r="U3" s="1">
        <v>1.1165644599303137</v>
      </c>
      <c r="V3" t="s">
        <v>71</v>
      </c>
    </row>
    <row r="4" spans="1:22" x14ac:dyDescent="0.25">
      <c r="A4" t="s">
        <v>41</v>
      </c>
      <c r="B4">
        <v>0.8547395221308266</v>
      </c>
      <c r="C4">
        <v>2.5753905849926002E-2</v>
      </c>
      <c r="D4">
        <v>0.84487295313382271</v>
      </c>
      <c r="E4">
        <v>5.7775971800664641E-2</v>
      </c>
      <c r="F4">
        <v>0.87115942028985516</v>
      </c>
      <c r="G4">
        <v>5.2790068594451275E-2</v>
      </c>
      <c r="H4">
        <v>0.83831962397179771</v>
      </c>
      <c r="I4">
        <v>8.2188320925879049E-2</v>
      </c>
      <c r="J4">
        <v>0.60182378751641719</v>
      </c>
      <c r="K4">
        <v>0.14049542159744771</v>
      </c>
      <c r="L4">
        <v>0.70058963079105863</v>
      </c>
      <c r="M4">
        <v>7.8977715421439443E-2</v>
      </c>
      <c r="N4">
        <v>0.63168080655226111</v>
      </c>
      <c r="O4">
        <v>9.453957185730627E-2</v>
      </c>
      <c r="P4">
        <v>0.60442838515894781</v>
      </c>
      <c r="Q4">
        <v>0.11351003683028162</v>
      </c>
      <c r="R4">
        <v>0.92031340508750714</v>
      </c>
      <c r="S4">
        <v>1.9466295238355226E-2</v>
      </c>
      <c r="T4" s="1">
        <v>3.9744629999999996E-2</v>
      </c>
      <c r="U4" s="1">
        <v>0.17266064050442309</v>
      </c>
      <c r="V4" t="s">
        <v>68</v>
      </c>
    </row>
    <row r="5" spans="1:22" x14ac:dyDescent="0.25">
      <c r="A5" t="s">
        <v>42</v>
      </c>
      <c r="B5">
        <v>0.87663996948893974</v>
      </c>
      <c r="D5">
        <v>0.87630662020905925</v>
      </c>
      <c r="F5">
        <v>0.8771929824561403</v>
      </c>
      <c r="H5">
        <v>0.87608695652173918</v>
      </c>
      <c r="J5">
        <v>0.63694267515923564</v>
      </c>
      <c r="L5">
        <v>0.73800738007380051</v>
      </c>
      <c r="N5">
        <v>0.67417072430199454</v>
      </c>
      <c r="P5">
        <v>0.65969705572905324</v>
      </c>
      <c r="R5">
        <v>0.94847444698703276</v>
      </c>
      <c r="T5" s="1">
        <v>0.56940919999999995</v>
      </c>
      <c r="U5" s="1">
        <v>0.99200209059233446</v>
      </c>
      <c r="V5" t="s">
        <v>69</v>
      </c>
    </row>
    <row r="6" spans="1:22" x14ac:dyDescent="0.25">
      <c r="A6" t="s">
        <v>39</v>
      </c>
      <c r="B6">
        <v>0.8770910040475256</v>
      </c>
      <c r="C6">
        <v>2.793431075787688E-2</v>
      </c>
      <c r="D6">
        <v>0.8687991718426501</v>
      </c>
      <c r="E6">
        <v>3.9575037687200762E-2</v>
      </c>
      <c r="F6">
        <v>0.89082125603864726</v>
      </c>
      <c r="G6">
        <v>5.8878652406638761E-2</v>
      </c>
      <c r="H6">
        <v>0.86336075205640428</v>
      </c>
      <c r="I6">
        <v>5.5467750242842777E-2</v>
      </c>
      <c r="J6">
        <v>0.63277496655033993</v>
      </c>
      <c r="K6">
        <v>9.6531645747605366E-2</v>
      </c>
      <c r="L6">
        <v>0.73422579655684295</v>
      </c>
      <c r="M6">
        <v>5.9032085917519524E-2</v>
      </c>
      <c r="N6">
        <v>0.67327791786787172</v>
      </c>
      <c r="O6">
        <v>7.0948312577838318E-2</v>
      </c>
      <c r="P6">
        <v>0.6520042902124028</v>
      </c>
      <c r="Q6">
        <v>8.2960446874951119E-2</v>
      </c>
      <c r="R6">
        <v>0.93877541199044001</v>
      </c>
      <c r="S6">
        <v>1.7863836420979311E-2</v>
      </c>
      <c r="T6" s="1">
        <v>6.4700870000000008E-2</v>
      </c>
      <c r="U6" s="1">
        <v>0.28107919649915297</v>
      </c>
      <c r="V6" t="s">
        <v>66</v>
      </c>
    </row>
    <row r="7" spans="1:22" x14ac:dyDescent="0.25">
      <c r="A7" t="s">
        <v>40</v>
      </c>
      <c r="B7">
        <v>0.88972158657513345</v>
      </c>
      <c r="D7">
        <v>0.89198606271777003</v>
      </c>
      <c r="F7">
        <v>0.88596491228070173</v>
      </c>
      <c r="H7">
        <v>0.89347826086956517</v>
      </c>
      <c r="J7">
        <v>0.67333333333333334</v>
      </c>
      <c r="L7">
        <v>0.76515151515151503</v>
      </c>
      <c r="N7">
        <v>0.70776199961773401</v>
      </c>
      <c r="P7">
        <v>0.696700074998295</v>
      </c>
      <c r="R7">
        <v>0.95514874141876427</v>
      </c>
      <c r="T7" s="1">
        <v>0.91624380000000005</v>
      </c>
      <c r="U7" s="1">
        <v>1.5962435540069688</v>
      </c>
      <c r="V7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519D-2595-4A7E-AFBD-BBB6999A5768}">
  <dimension ref="A1:V21"/>
  <sheetViews>
    <sheetView topLeftCell="A11" workbookViewId="0">
      <selection activeCell="C16" sqref="C16:J21"/>
    </sheetView>
  </sheetViews>
  <sheetFormatPr defaultRowHeight="15" x14ac:dyDescent="0.25"/>
  <cols>
    <col min="1" max="1" width="59.28515625" bestFit="1" customWidth="1"/>
    <col min="2" max="19" width="15.7109375" customWidth="1"/>
  </cols>
  <sheetData>
    <row r="1" spans="1:22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63</v>
      </c>
      <c r="U1" t="s">
        <v>64</v>
      </c>
      <c r="V1" t="s">
        <v>65</v>
      </c>
    </row>
    <row r="2" spans="1:22" x14ac:dyDescent="0.25">
      <c r="A2" t="s">
        <v>27</v>
      </c>
      <c r="B2">
        <v>0.86375375375375363</v>
      </c>
      <c r="C2">
        <v>3.0336207779555105E-2</v>
      </c>
      <c r="D2">
        <v>0.85138339920948614</v>
      </c>
      <c r="E2">
        <v>5.4117271530548086E-2</v>
      </c>
      <c r="F2">
        <v>0.8842995169082124</v>
      </c>
      <c r="G2">
        <v>7.5301822064769638E-2</v>
      </c>
      <c r="H2">
        <v>0.84320799059929497</v>
      </c>
      <c r="I2">
        <v>7.926122345128149E-2</v>
      </c>
      <c r="J2">
        <v>0.60516144105077818</v>
      </c>
      <c r="K2">
        <v>0.10393110913966043</v>
      </c>
      <c r="L2">
        <v>0.71009665553487744</v>
      </c>
      <c r="M2">
        <v>6.4523139605471236E-2</v>
      </c>
      <c r="N2">
        <v>0.64480674816463912</v>
      </c>
      <c r="O2">
        <v>7.4282606716992619E-2</v>
      </c>
      <c r="P2">
        <v>0.61805526267645972</v>
      </c>
      <c r="Q2">
        <v>9.4915031974764752E-2</v>
      </c>
      <c r="R2">
        <v>0.93055068348121261</v>
      </c>
      <c r="S2">
        <v>1.9473507081750295E-2</v>
      </c>
      <c r="T2">
        <v>4.6220899999999995E-2</v>
      </c>
      <c r="U2">
        <v>0.20076791906644081</v>
      </c>
      <c r="V2" t="s">
        <v>70</v>
      </c>
    </row>
    <row r="3" spans="1:22" x14ac:dyDescent="0.25">
      <c r="A3" t="s">
        <v>28</v>
      </c>
      <c r="B3">
        <v>0.87225400457665914</v>
      </c>
      <c r="D3">
        <v>0.87456445993031362</v>
      </c>
      <c r="F3">
        <v>0.86842105263157898</v>
      </c>
      <c r="H3">
        <v>0.87608695652173918</v>
      </c>
      <c r="J3">
        <v>0.63461538461538458</v>
      </c>
      <c r="L3">
        <v>0.73333333333333317</v>
      </c>
      <c r="N3">
        <v>0.66765218638990897</v>
      </c>
      <c r="P3">
        <v>0.65390413023816674</v>
      </c>
      <c r="R3">
        <v>0.94448893974065606</v>
      </c>
      <c r="T3">
        <v>0.64090800000000003</v>
      </c>
      <c r="U3">
        <v>1.1165644599303137</v>
      </c>
      <c r="V3" t="s">
        <v>71</v>
      </c>
    </row>
    <row r="4" spans="1:22" x14ac:dyDescent="0.25">
      <c r="A4" t="s">
        <v>25</v>
      </c>
      <c r="B4">
        <v>0.8547395221308266</v>
      </c>
      <c r="C4">
        <v>2.5753905849926002E-2</v>
      </c>
      <c r="D4">
        <v>0.84487295313382271</v>
      </c>
      <c r="E4">
        <v>5.7775971800664641E-2</v>
      </c>
      <c r="F4">
        <v>0.87115942028985516</v>
      </c>
      <c r="G4">
        <v>5.2790068594451275E-2</v>
      </c>
      <c r="H4">
        <v>0.83831962397179771</v>
      </c>
      <c r="I4">
        <v>8.2188320925879049E-2</v>
      </c>
      <c r="J4">
        <v>0.60182378751641719</v>
      </c>
      <c r="K4">
        <v>0.14049542159744771</v>
      </c>
      <c r="L4">
        <v>0.70058963079105863</v>
      </c>
      <c r="M4">
        <v>7.8977715421439443E-2</v>
      </c>
      <c r="N4">
        <v>0.63168080655226111</v>
      </c>
      <c r="O4">
        <v>9.453957185730627E-2</v>
      </c>
      <c r="P4">
        <v>0.60442838515894781</v>
      </c>
      <c r="Q4">
        <v>0.11351003683028162</v>
      </c>
      <c r="R4">
        <v>0.92031340508750714</v>
      </c>
      <c r="S4">
        <v>1.9466295238355226E-2</v>
      </c>
      <c r="T4">
        <v>3.9744629999999996E-2</v>
      </c>
      <c r="U4">
        <v>0.17266064050442309</v>
      </c>
      <c r="V4" t="s">
        <v>68</v>
      </c>
    </row>
    <row r="5" spans="1:22" x14ac:dyDescent="0.25">
      <c r="A5" t="s">
        <v>26</v>
      </c>
      <c r="B5">
        <v>0.87663996948893974</v>
      </c>
      <c r="D5">
        <v>0.87630662020905925</v>
      </c>
      <c r="F5">
        <v>0.8771929824561403</v>
      </c>
      <c r="H5">
        <v>0.87608695652173918</v>
      </c>
      <c r="J5">
        <v>0.63694267515923564</v>
      </c>
      <c r="L5">
        <v>0.73800738007380051</v>
      </c>
      <c r="N5">
        <v>0.67417072430199454</v>
      </c>
      <c r="P5">
        <v>0.65969705572905324</v>
      </c>
      <c r="R5">
        <v>0.94847444698703276</v>
      </c>
      <c r="T5">
        <v>0.56940919999999995</v>
      </c>
      <c r="U5">
        <v>0.99200209059233446</v>
      </c>
      <c r="V5" t="s">
        <v>69</v>
      </c>
    </row>
    <row r="6" spans="1:22" x14ac:dyDescent="0.25">
      <c r="A6" t="s">
        <v>23</v>
      </c>
      <c r="B6">
        <v>0.8770910040475256</v>
      </c>
      <c r="C6">
        <v>2.793431075787688E-2</v>
      </c>
      <c r="D6">
        <v>0.8687991718426501</v>
      </c>
      <c r="E6">
        <v>3.9575037687200762E-2</v>
      </c>
      <c r="F6">
        <v>0.89082125603864726</v>
      </c>
      <c r="G6">
        <v>5.8878652406638761E-2</v>
      </c>
      <c r="H6">
        <v>0.86336075205640428</v>
      </c>
      <c r="I6">
        <v>5.5467750242842777E-2</v>
      </c>
      <c r="J6">
        <v>0.63277496655033993</v>
      </c>
      <c r="K6">
        <v>9.6531645747605366E-2</v>
      </c>
      <c r="L6">
        <v>0.73422579655684295</v>
      </c>
      <c r="M6">
        <v>5.9032085917519524E-2</v>
      </c>
      <c r="N6">
        <v>0.67327791786787172</v>
      </c>
      <c r="O6">
        <v>7.0948312577838318E-2</v>
      </c>
      <c r="P6">
        <v>0.6520042902124028</v>
      </c>
      <c r="Q6">
        <v>8.2960446874951119E-2</v>
      </c>
      <c r="R6">
        <v>0.93877541199044001</v>
      </c>
      <c r="S6">
        <v>1.7863836420979311E-2</v>
      </c>
      <c r="T6">
        <v>6.4700870000000008E-2</v>
      </c>
      <c r="U6">
        <v>0.28107919649915297</v>
      </c>
      <c r="V6" t="s">
        <v>66</v>
      </c>
    </row>
    <row r="7" spans="1:22" x14ac:dyDescent="0.25">
      <c r="A7" t="s">
        <v>24</v>
      </c>
      <c r="B7">
        <v>0.88972158657513345</v>
      </c>
      <c r="D7">
        <v>0.89198606271777003</v>
      </c>
      <c r="F7">
        <v>0.88596491228070173</v>
      </c>
      <c r="H7">
        <v>0.89347826086956517</v>
      </c>
      <c r="J7">
        <v>0.67333333333333334</v>
      </c>
      <c r="L7">
        <v>0.76515151515151503</v>
      </c>
      <c r="N7">
        <v>0.70776199961773401</v>
      </c>
      <c r="P7">
        <v>0.696700074998295</v>
      </c>
      <c r="R7">
        <v>0.95514874141876427</v>
      </c>
      <c r="T7">
        <v>0.91624380000000005</v>
      </c>
      <c r="U7">
        <v>1.5962435540069688</v>
      </c>
      <c r="V7" t="s">
        <v>67</v>
      </c>
    </row>
    <row r="9" spans="1:22" x14ac:dyDescent="0.25">
      <c r="B9" t="str">
        <f>TEXT(B2,"0.0000") &amp; " ± " &amp; TEXT(C2,"0.0000")</f>
        <v>0.8638 ± 0.0303</v>
      </c>
      <c r="C9" t="str">
        <f t="shared" ref="C9:S14" si="0">TEXT(C2,"0.0000") &amp; " ± " &amp; TEXT(D2,"0.0000")</f>
        <v>0.0303 ± 0.8514</v>
      </c>
      <c r="D9" t="str">
        <f t="shared" si="0"/>
        <v>0.8514 ± 0.0541</v>
      </c>
      <c r="E9" t="str">
        <f t="shared" si="0"/>
        <v>0.0541 ± 0.8843</v>
      </c>
      <c r="F9" t="str">
        <f t="shared" si="0"/>
        <v>0.8843 ± 0.0753</v>
      </c>
      <c r="G9" t="str">
        <f t="shared" si="0"/>
        <v>0.0753 ± 0.8432</v>
      </c>
      <c r="H9" t="str">
        <f t="shared" si="0"/>
        <v>0.8432 ± 0.0793</v>
      </c>
      <c r="I9" t="str">
        <f t="shared" si="0"/>
        <v>0.0793 ± 0.6052</v>
      </c>
      <c r="J9" t="str">
        <f t="shared" si="0"/>
        <v>0.6052 ± 0.1039</v>
      </c>
      <c r="K9" t="str">
        <f t="shared" si="0"/>
        <v>0.1039 ± 0.7101</v>
      </c>
      <c r="L9" t="str">
        <f t="shared" si="0"/>
        <v>0.7101 ± 0.0645</v>
      </c>
      <c r="M9" t="str">
        <f t="shared" si="0"/>
        <v>0.0645 ± 0.6448</v>
      </c>
      <c r="N9" t="str">
        <f t="shared" si="0"/>
        <v>0.6448 ± 0.0743</v>
      </c>
      <c r="O9" t="str">
        <f t="shared" si="0"/>
        <v>0.0743 ± 0.6181</v>
      </c>
      <c r="P9" t="str">
        <f t="shared" si="0"/>
        <v>0.6181 ± 0.0949</v>
      </c>
      <c r="Q9" t="str">
        <f t="shared" si="0"/>
        <v>0.0949 ± 0.9306</v>
      </c>
      <c r="R9" t="str">
        <f t="shared" si="0"/>
        <v>0.9306 ± 0.0195</v>
      </c>
      <c r="S9" t="str">
        <f t="shared" si="0"/>
        <v>0.0195 ± 0.0462</v>
      </c>
    </row>
    <row r="10" spans="1:22" x14ac:dyDescent="0.25">
      <c r="B10" t="str">
        <f t="shared" ref="B10:Q14" si="1">TEXT(B3,"0.0000") &amp; " ± " &amp; TEXT(C3,"0.0000")</f>
        <v>0.8723 ± 0.0000</v>
      </c>
      <c r="C10" t="str">
        <f t="shared" si="1"/>
        <v>0.0000 ± 0.8746</v>
      </c>
      <c r="D10" t="str">
        <f t="shared" si="1"/>
        <v>0.8746 ± 0.0000</v>
      </c>
      <c r="E10" t="str">
        <f t="shared" si="1"/>
        <v>0.0000 ± 0.8684</v>
      </c>
      <c r="F10" t="str">
        <f t="shared" si="1"/>
        <v>0.8684 ± 0.0000</v>
      </c>
      <c r="G10" t="str">
        <f t="shared" si="1"/>
        <v>0.0000 ± 0.8761</v>
      </c>
      <c r="H10" t="str">
        <f t="shared" si="1"/>
        <v>0.8761 ± 0.0000</v>
      </c>
      <c r="I10" t="str">
        <f t="shared" si="1"/>
        <v>0.0000 ± 0.6346</v>
      </c>
      <c r="J10" t="str">
        <f t="shared" si="1"/>
        <v>0.6346 ± 0.0000</v>
      </c>
      <c r="K10" t="str">
        <f t="shared" si="1"/>
        <v>0.0000 ± 0.7333</v>
      </c>
      <c r="L10" t="str">
        <f t="shared" si="1"/>
        <v>0.7333 ± 0.0000</v>
      </c>
      <c r="M10" t="str">
        <f t="shared" si="1"/>
        <v>0.0000 ± 0.6677</v>
      </c>
      <c r="N10" t="str">
        <f t="shared" si="1"/>
        <v>0.6677 ± 0.0000</v>
      </c>
      <c r="O10" t="str">
        <f t="shared" si="1"/>
        <v>0.0000 ± 0.6539</v>
      </c>
      <c r="P10" t="str">
        <f t="shared" si="1"/>
        <v>0.6539 ± 0.0000</v>
      </c>
      <c r="Q10" t="str">
        <f t="shared" si="1"/>
        <v>0.0000 ± 0.9445</v>
      </c>
      <c r="R10" t="str">
        <f t="shared" si="0"/>
        <v>0.9445 ± 0.0000</v>
      </c>
      <c r="S10" t="str">
        <f t="shared" si="0"/>
        <v>0.0000 ± 0.6409</v>
      </c>
    </row>
    <row r="11" spans="1:22" x14ac:dyDescent="0.25">
      <c r="B11" t="str">
        <f t="shared" si="1"/>
        <v>0.8547 ± 0.0258</v>
      </c>
      <c r="C11" t="str">
        <f t="shared" si="0"/>
        <v>0.0258 ± 0.8449</v>
      </c>
      <c r="D11" t="str">
        <f t="shared" si="0"/>
        <v>0.8449 ± 0.0578</v>
      </c>
      <c r="E11" t="str">
        <f t="shared" si="0"/>
        <v>0.0578 ± 0.8712</v>
      </c>
      <c r="F11" t="str">
        <f t="shared" si="0"/>
        <v>0.8712 ± 0.0528</v>
      </c>
      <c r="G11" t="str">
        <f t="shared" si="0"/>
        <v>0.0528 ± 0.8383</v>
      </c>
      <c r="H11" t="str">
        <f t="shared" si="0"/>
        <v>0.8383 ± 0.0822</v>
      </c>
      <c r="I11" t="str">
        <f t="shared" si="0"/>
        <v>0.0822 ± 0.6018</v>
      </c>
      <c r="J11" t="str">
        <f t="shared" si="0"/>
        <v>0.6018 ± 0.1405</v>
      </c>
      <c r="K11" t="str">
        <f t="shared" si="0"/>
        <v>0.1405 ± 0.7006</v>
      </c>
      <c r="L11" t="str">
        <f t="shared" si="0"/>
        <v>0.7006 ± 0.0790</v>
      </c>
      <c r="M11" t="str">
        <f t="shared" si="0"/>
        <v>0.0790 ± 0.6317</v>
      </c>
      <c r="N11" t="str">
        <f t="shared" si="0"/>
        <v>0.6317 ± 0.0945</v>
      </c>
      <c r="O11" t="str">
        <f t="shared" si="0"/>
        <v>0.0945 ± 0.6044</v>
      </c>
      <c r="P11" t="str">
        <f t="shared" si="0"/>
        <v>0.6044 ± 0.1135</v>
      </c>
      <c r="Q11" t="str">
        <f t="shared" si="0"/>
        <v>0.1135 ± 0.9203</v>
      </c>
      <c r="R11" t="str">
        <f t="shared" si="0"/>
        <v>0.9203 ± 0.0195</v>
      </c>
      <c r="S11" t="str">
        <f t="shared" si="0"/>
        <v>0.0195 ± 0.0397</v>
      </c>
    </row>
    <row r="12" spans="1:22" x14ac:dyDescent="0.25">
      <c r="B12" t="str">
        <f t="shared" si="1"/>
        <v>0.8766 ± 0.0000</v>
      </c>
      <c r="C12" t="str">
        <f t="shared" si="0"/>
        <v>0.0000 ± 0.8763</v>
      </c>
      <c r="D12" t="str">
        <f t="shared" si="0"/>
        <v>0.8763 ± 0.0000</v>
      </c>
      <c r="E12" t="str">
        <f t="shared" si="0"/>
        <v>0.0000 ± 0.8772</v>
      </c>
      <c r="F12" t="str">
        <f t="shared" si="0"/>
        <v>0.8772 ± 0.0000</v>
      </c>
      <c r="G12" t="str">
        <f t="shared" si="0"/>
        <v>0.0000 ± 0.8761</v>
      </c>
      <c r="H12" t="str">
        <f t="shared" si="0"/>
        <v>0.8761 ± 0.0000</v>
      </c>
      <c r="I12" t="str">
        <f t="shared" si="0"/>
        <v>0.0000 ± 0.6369</v>
      </c>
      <c r="J12" t="str">
        <f t="shared" si="0"/>
        <v>0.6369 ± 0.0000</v>
      </c>
      <c r="K12" t="str">
        <f t="shared" si="0"/>
        <v>0.0000 ± 0.7380</v>
      </c>
      <c r="L12" t="str">
        <f t="shared" si="0"/>
        <v>0.7380 ± 0.0000</v>
      </c>
      <c r="M12" t="str">
        <f t="shared" si="0"/>
        <v>0.0000 ± 0.6742</v>
      </c>
      <c r="N12" t="str">
        <f t="shared" si="0"/>
        <v>0.6742 ± 0.0000</v>
      </c>
      <c r="O12" t="str">
        <f t="shared" si="0"/>
        <v>0.0000 ± 0.6597</v>
      </c>
      <c r="P12" t="str">
        <f t="shared" si="0"/>
        <v>0.6597 ± 0.0000</v>
      </c>
      <c r="Q12" t="str">
        <f t="shared" si="0"/>
        <v>0.0000 ± 0.9485</v>
      </c>
      <c r="R12" t="str">
        <f t="shared" si="0"/>
        <v>0.9485 ± 0.0000</v>
      </c>
      <c r="S12" t="str">
        <f t="shared" si="0"/>
        <v>0.0000 ± 0.5694</v>
      </c>
    </row>
    <row r="13" spans="1:22" x14ac:dyDescent="0.25">
      <c r="B13" t="str">
        <f t="shared" si="1"/>
        <v>0.8771 ± 0.0279</v>
      </c>
      <c r="C13" t="str">
        <f t="shared" si="0"/>
        <v>0.0279 ± 0.8688</v>
      </c>
      <c r="D13" t="str">
        <f t="shared" si="0"/>
        <v>0.8688 ± 0.0396</v>
      </c>
      <c r="E13" t="str">
        <f t="shared" si="0"/>
        <v>0.0396 ± 0.8908</v>
      </c>
      <c r="F13" t="str">
        <f t="shared" si="0"/>
        <v>0.8908 ± 0.0589</v>
      </c>
      <c r="G13" t="str">
        <f t="shared" si="0"/>
        <v>0.0589 ± 0.8634</v>
      </c>
      <c r="H13" t="str">
        <f t="shared" si="0"/>
        <v>0.8634 ± 0.0555</v>
      </c>
      <c r="I13" t="str">
        <f t="shared" si="0"/>
        <v>0.0555 ± 0.6328</v>
      </c>
      <c r="J13" t="str">
        <f t="shared" si="0"/>
        <v>0.6328 ± 0.0965</v>
      </c>
      <c r="K13" t="str">
        <f t="shared" si="0"/>
        <v>0.0965 ± 0.7342</v>
      </c>
      <c r="L13" t="str">
        <f t="shared" si="0"/>
        <v>0.7342 ± 0.0590</v>
      </c>
      <c r="M13" t="str">
        <f t="shared" si="0"/>
        <v>0.0590 ± 0.6733</v>
      </c>
      <c r="N13" t="str">
        <f t="shared" si="0"/>
        <v>0.6733 ± 0.0709</v>
      </c>
      <c r="O13" t="str">
        <f t="shared" si="0"/>
        <v>0.0709 ± 0.6520</v>
      </c>
      <c r="P13" t="str">
        <f t="shared" si="0"/>
        <v>0.6520 ± 0.0830</v>
      </c>
      <c r="Q13" t="str">
        <f t="shared" si="0"/>
        <v>0.0830 ± 0.9388</v>
      </c>
      <c r="R13" t="str">
        <f t="shared" si="0"/>
        <v>0.9388 ± 0.0179</v>
      </c>
      <c r="S13" t="str">
        <f t="shared" si="0"/>
        <v>0.0179 ± 0.0647</v>
      </c>
    </row>
    <row r="14" spans="1:22" x14ac:dyDescent="0.25">
      <c r="B14" t="str">
        <f t="shared" si="1"/>
        <v>0.8897 ± 0.0000</v>
      </c>
      <c r="C14" t="str">
        <f t="shared" si="0"/>
        <v>0.0000 ± 0.8920</v>
      </c>
      <c r="D14" t="str">
        <f t="shared" si="0"/>
        <v>0.8920 ± 0.0000</v>
      </c>
      <c r="E14" t="str">
        <f t="shared" si="0"/>
        <v>0.0000 ± 0.8860</v>
      </c>
      <c r="F14" t="str">
        <f t="shared" si="0"/>
        <v>0.8860 ± 0.0000</v>
      </c>
      <c r="G14" t="str">
        <f t="shared" si="0"/>
        <v>0.0000 ± 0.8935</v>
      </c>
      <c r="H14" t="str">
        <f t="shared" si="0"/>
        <v>0.8935 ± 0.0000</v>
      </c>
      <c r="I14" t="str">
        <f t="shared" si="0"/>
        <v>0.0000 ± 0.6733</v>
      </c>
      <c r="J14" t="str">
        <f t="shared" si="0"/>
        <v>0.6733 ± 0.0000</v>
      </c>
      <c r="K14" t="str">
        <f t="shared" si="0"/>
        <v>0.0000 ± 0.7652</v>
      </c>
      <c r="L14" t="str">
        <f t="shared" si="0"/>
        <v>0.7652 ± 0.0000</v>
      </c>
      <c r="M14" t="str">
        <f t="shared" si="0"/>
        <v>0.0000 ± 0.7078</v>
      </c>
      <c r="N14" t="str">
        <f t="shared" si="0"/>
        <v>0.7078 ± 0.0000</v>
      </c>
      <c r="O14" t="str">
        <f t="shared" si="0"/>
        <v>0.0000 ± 0.6967</v>
      </c>
      <c r="P14" t="str">
        <f t="shared" si="0"/>
        <v>0.6967 ± 0.0000</v>
      </c>
      <c r="Q14" t="str">
        <f t="shared" si="0"/>
        <v>0.0000 ± 0.9551</v>
      </c>
      <c r="R14" t="str">
        <f t="shared" si="0"/>
        <v>0.9551 ± 0.0000</v>
      </c>
      <c r="S14" t="str">
        <f t="shared" si="0"/>
        <v>0.0000 ± 0.9162</v>
      </c>
    </row>
    <row r="16" spans="1:22" x14ac:dyDescent="0.25">
      <c r="C16" t="s">
        <v>72</v>
      </c>
      <c r="D16" t="s">
        <v>78</v>
      </c>
      <c r="E16" t="s">
        <v>84</v>
      </c>
      <c r="F16" t="s">
        <v>89</v>
      </c>
      <c r="G16" t="s">
        <v>95</v>
      </c>
      <c r="H16" t="s">
        <v>101</v>
      </c>
      <c r="I16" t="s">
        <v>107</v>
      </c>
      <c r="J16" t="s">
        <v>113</v>
      </c>
    </row>
    <row r="17" spans="3:10" x14ac:dyDescent="0.25">
      <c r="C17" t="s">
        <v>73</v>
      </c>
      <c r="D17" t="s">
        <v>79</v>
      </c>
      <c r="E17" t="s">
        <v>85</v>
      </c>
      <c r="F17" t="s">
        <v>90</v>
      </c>
      <c r="G17" t="s">
        <v>96</v>
      </c>
      <c r="H17" t="s">
        <v>102</v>
      </c>
      <c r="I17" t="s">
        <v>108</v>
      </c>
      <c r="J17" t="s">
        <v>114</v>
      </c>
    </row>
    <row r="18" spans="3:10" x14ac:dyDescent="0.25">
      <c r="C18" t="s">
        <v>74</v>
      </c>
      <c r="D18" t="s">
        <v>80</v>
      </c>
      <c r="E18" t="s">
        <v>86</v>
      </c>
      <c r="F18" t="s">
        <v>91</v>
      </c>
      <c r="G18" t="s">
        <v>97</v>
      </c>
      <c r="H18" t="s">
        <v>103</v>
      </c>
      <c r="I18" t="s">
        <v>109</v>
      </c>
      <c r="J18" t="s">
        <v>115</v>
      </c>
    </row>
    <row r="19" spans="3:10" x14ac:dyDescent="0.25">
      <c r="C19" t="s">
        <v>75</v>
      </c>
      <c r="D19" t="s">
        <v>81</v>
      </c>
      <c r="E19" t="s">
        <v>85</v>
      </c>
      <c r="F19" t="s">
        <v>92</v>
      </c>
      <c r="G19" t="s">
        <v>98</v>
      </c>
      <c r="H19" t="s">
        <v>104</v>
      </c>
      <c r="I19" t="s">
        <v>110</v>
      </c>
      <c r="J19" t="s">
        <v>116</v>
      </c>
    </row>
    <row r="20" spans="3:10" x14ac:dyDescent="0.25">
      <c r="C20" t="s">
        <v>76</v>
      </c>
      <c r="D20" t="s">
        <v>82</v>
      </c>
      <c r="E20" t="s">
        <v>87</v>
      </c>
      <c r="F20" t="s">
        <v>93</v>
      </c>
      <c r="G20" t="s">
        <v>99</v>
      </c>
      <c r="H20" t="s">
        <v>105</v>
      </c>
      <c r="I20" t="s">
        <v>111</v>
      </c>
      <c r="J20" t="s">
        <v>117</v>
      </c>
    </row>
    <row r="21" spans="3:10" x14ac:dyDescent="0.25">
      <c r="C21" t="s">
        <v>77</v>
      </c>
      <c r="D21" t="s">
        <v>83</v>
      </c>
      <c r="E21" t="s">
        <v>88</v>
      </c>
      <c r="F21" t="s">
        <v>94</v>
      </c>
      <c r="G21" t="s">
        <v>100</v>
      </c>
      <c r="H21" t="s">
        <v>106</v>
      </c>
      <c r="I21" t="s">
        <v>112</v>
      </c>
      <c r="J2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pub_SVMresults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2026-10-17T07:17:11Z</dcterms:modified>
</cp:coreProperties>
</file>