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MATLAB files\Matlab files - GeMAPS paper\Second Revision - GeMAPS\Table10_KNN_templatePhysionet\"/>
    </mc:Choice>
  </mc:AlternateContent>
  <xr:revisionPtr revIDLastSave="0" documentId="13_ncr:1_{B70A308F-F46E-4AC9-91A9-FF70FAF8CBAB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CV_MeanSD" sheetId="2" r:id="rId1"/>
    <sheet name="CV_test_Mean" sheetId="3" r:id="rId2"/>
    <sheet name="pub_results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5" l="1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B10" i="5"/>
  <c r="B11" i="5"/>
  <c r="B12" i="5"/>
  <c r="B13" i="5"/>
  <c r="B14" i="5"/>
  <c r="B9" i="5"/>
</calcChain>
</file>

<file path=xl/sharedStrings.xml><?xml version="1.0" encoding="utf-8"?>
<sst xmlns="http://schemas.openxmlformats.org/spreadsheetml/2006/main" count="145" uniqueCount="120">
  <si>
    <t>filename</t>
  </si>
  <si>
    <t>withoutSFFS_GeMAPS_preset_Physionet_20261015_203104</t>
  </si>
  <si>
    <t>withoutSFFS_combined_preset_Physionet_20261015_203105</t>
  </si>
  <si>
    <t>withoutSFFS_shen_preset_Physionet_20261015_201523</t>
  </si>
  <si>
    <t>mean_balancedAcc</t>
  </si>
  <si>
    <t>std_balancedAcc</t>
  </si>
  <si>
    <t>mean_accuracy</t>
  </si>
  <si>
    <t>std_accuracy</t>
  </si>
  <si>
    <t>mean_sensitivity</t>
  </si>
  <si>
    <t>std_sensitivity</t>
  </si>
  <si>
    <t>mean_specificity</t>
  </si>
  <si>
    <t>std_specificity</t>
  </si>
  <si>
    <t>mean_precision</t>
  </si>
  <si>
    <t>std_precision</t>
  </si>
  <si>
    <t>mean_f1</t>
  </si>
  <si>
    <t>std_f1</t>
  </si>
  <si>
    <t>mean_mcc</t>
  </si>
  <si>
    <t>std_mcc</t>
  </si>
  <si>
    <t>mean_kappa</t>
  </si>
  <si>
    <t>std_kappa</t>
  </si>
  <si>
    <t>mean_auc</t>
  </si>
  <si>
    <t>std_auc</t>
  </si>
  <si>
    <t>filename</t>
  </si>
  <si>
    <t>withoutSFFS_GeMAPS_preset_Physionet_20261015_203104_CV</t>
  </si>
  <si>
    <t>withoutSFFS_GeMAPS_preset_Physionet_20261015_203104_Test</t>
  </si>
  <si>
    <t>withoutSFFS_combined_preset_Physionet_20261015_203105_CV</t>
  </si>
  <si>
    <t>withoutSFFS_combined_preset_Physionet_20261015_203105_Test</t>
  </si>
  <si>
    <t>withoutSFFS_shen_preset_Physionet_20261015_201523_CV</t>
  </si>
  <si>
    <t>withoutSFFS_shen_preset_Physionet_20261015_201523_Test</t>
  </si>
  <si>
    <t>mean_balancedAcc</t>
  </si>
  <si>
    <t>mean_accuracy</t>
  </si>
  <si>
    <t>mean_sensitivity</t>
  </si>
  <si>
    <t>mean_specificity</t>
  </si>
  <si>
    <t>mean_precision</t>
  </si>
  <si>
    <t>mean_f1</t>
  </si>
  <si>
    <t>mean_mcc</t>
  </si>
  <si>
    <t>mean_kappa</t>
  </si>
  <si>
    <t>mean_auc</t>
  </si>
  <si>
    <t>filename</t>
  </si>
  <si>
    <t>withoutSFFS_GeMAPS_preset_Physionet_20261015_203104_CV</t>
  </si>
  <si>
    <t>withoutSFFS_GeMAPS_preset_Physionet_20261015_203104_Test</t>
  </si>
  <si>
    <t>withoutSFFS_combined_preset_Physionet_20261015_203105_CV</t>
  </si>
  <si>
    <t>withoutSFFS_combined_preset_Physionet_20261015_203105_Test</t>
  </si>
  <si>
    <t>withoutSFFS_shen_preset_Physionet_20261015_201523_CV</t>
  </si>
  <si>
    <t>withoutSFFS_shen_preset_Physionet_20261015_201523_Test</t>
  </si>
  <si>
    <t>mean_balancedAcc</t>
  </si>
  <si>
    <t>std_balancedAcc</t>
  </si>
  <si>
    <t>mean_accuracy</t>
  </si>
  <si>
    <t>std_accuracy</t>
  </si>
  <si>
    <t>mean_sensitivity</t>
  </si>
  <si>
    <t>std_sensitivity</t>
  </si>
  <si>
    <t>mean_specificity</t>
  </si>
  <si>
    <t>std_specificity</t>
  </si>
  <si>
    <t>mean_precision</t>
  </si>
  <si>
    <t>std_precision</t>
  </si>
  <si>
    <t>mean_f1</t>
  </si>
  <si>
    <t>std_f1</t>
  </si>
  <si>
    <t>mean_mcc</t>
  </si>
  <si>
    <t>std_mcc</t>
  </si>
  <si>
    <t>mean_kappa</t>
  </si>
  <si>
    <t>std_kappa</t>
  </si>
  <si>
    <t>mean_auc</t>
  </si>
  <si>
    <t>std_auc</t>
  </si>
  <si>
    <t>totalInferenceTime_s</t>
  </si>
  <si>
    <t>avgInferenceTime_ms</t>
  </si>
  <si>
    <t>confMat</t>
  </si>
  <si>
    <t>TN=1595, FP=249, FN=160, TP=298</t>
  </si>
  <si>
    <t>TN=438, FP=22, FN=66, TP=48</t>
  </si>
  <si>
    <t>TN=1617, FP=227, FN=116, TP=342</t>
  </si>
  <si>
    <t>TN=433, FP=27, FN=56, TP=58</t>
  </si>
  <si>
    <t>TN=1578, FP=266, FN=131, TP=327</t>
  </si>
  <si>
    <t>TN=430, FP=30, FN=55, TP=59</t>
  </si>
  <si>
    <t>0.7850 ± 0.0511</t>
  </si>
  <si>
    <t>0.7262 ± 0.0000</t>
  </si>
  <si>
    <t>0.7577 ± 0.0459</t>
  </si>
  <si>
    <t>0.6866 ± 0.0000</t>
  </si>
  <si>
    <t>0.8119 ± 0.0337</t>
  </si>
  <si>
    <t>0.7250 ± 0.0000</t>
  </si>
  <si>
    <t>0.7142 ± 0.0981</t>
  </si>
  <si>
    <t>0.5175 ± 0.0000</t>
  </si>
  <si>
    <t>0.6504 ± 0.0737</t>
  </si>
  <si>
    <t>0.4211 ± 0.0000</t>
  </si>
  <si>
    <t>0.7469 ± 0.0702</t>
  </si>
  <si>
    <t>0.5088 ± 0.0000</t>
  </si>
  <si>
    <t>0.8558 ± 0.0330</t>
  </si>
  <si>
    <t>0.9348 ± 0.0000</t>
  </si>
  <si>
    <t>0.8649 ± 0.0334</t>
  </si>
  <si>
    <t>0.9522 ± 0.0000</t>
  </si>
  <si>
    <t>0.8769 ± 0.0240</t>
  </si>
  <si>
    <t>0.9413 ± 0.0000</t>
  </si>
  <si>
    <t>0.5544 ± 0.0655</t>
  </si>
  <si>
    <t>0.6629 ± 0.0000</t>
  </si>
  <si>
    <t>0.5486 ± 0.0708</t>
  </si>
  <si>
    <t>0.6857 ± 0.0000</t>
  </si>
  <si>
    <t>0.6037 ± 0.0460</t>
  </si>
  <si>
    <t>0.6824 ± 0.0000</t>
  </si>
  <si>
    <t>0.6217 ± 0.0679</t>
  </si>
  <si>
    <t>0.5813 ± 0.0000</t>
  </si>
  <si>
    <t>0.5939 ± 0.0675</t>
  </si>
  <si>
    <t>0.5217 ± 0.0000</t>
  </si>
  <si>
    <t>0.6656 ± 0.0435</t>
  </si>
  <si>
    <t>0.5829 ± 0.0000</t>
  </si>
  <si>
    <t>0.5216 ± 0.0884</t>
  </si>
  <si>
    <t>0.4986 ± 0.0000</t>
  </si>
  <si>
    <t>0.4853 ± 0.0881</t>
  </si>
  <si>
    <t>0.4550 ± 0.0000</t>
  </si>
  <si>
    <t>0.5784 ± 0.0550</t>
  </si>
  <si>
    <t>0.5055 ± 0.0000</t>
  </si>
  <si>
    <t>0.5128 ± 0.0870</t>
  </si>
  <si>
    <t>0.4930 ± 0.0000</t>
  </si>
  <si>
    <t>0.4816 ± 0.0887</t>
  </si>
  <si>
    <t>0.4366 ± 0.0000</t>
  </si>
  <si>
    <t>0.5715 ± 0.0549</t>
  </si>
  <si>
    <t>0.4977 ± 0.0000</t>
  </si>
  <si>
    <t>0.8847 ± 0.0302</t>
  </si>
  <si>
    <t>0.8719 ± 0.0000</t>
  </si>
  <si>
    <t>0.8697 ± 0.0314</t>
  </si>
  <si>
    <t>0.8649 ± 0.0000</t>
  </si>
  <si>
    <t>0.9034 ± 0.0265</t>
  </si>
  <si>
    <t>0.8838 ± 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</si>
</sst>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workbookViewId="0"/>
  </sheetViews>
  <sheetFormatPr defaultRowHeight="15" x14ac:dyDescent="0.25"/>
  <cols>
    <col min="1" max="1" width="54.5703125" customWidth="1"/>
    <col min="2" max="2" width="18.140625" customWidth="1"/>
    <col min="3" max="3" width="15.85546875" customWidth="1"/>
    <col min="4" max="4" width="14.5703125" customWidth="1"/>
    <col min="5" max="5" width="13.7109375" customWidth="1"/>
    <col min="6" max="6" width="16.28515625" customWidth="1"/>
    <col min="7" max="7" width="14" customWidth="1"/>
    <col min="8" max="8" width="16.140625" customWidth="1"/>
    <col min="9" max="9" width="13.85546875" customWidth="1"/>
    <col min="10" max="10" width="15.28515625" customWidth="1"/>
    <col min="11" max="11" width="13.7109375" customWidth="1"/>
    <col min="12" max="12" width="12.7109375" customWidth="1"/>
    <col min="13" max="13" width="13.7109375" customWidth="1"/>
    <col min="14" max="14" width="12.7109375" customWidth="1"/>
    <col min="15" max="15" width="13.7109375" customWidth="1"/>
    <col min="16" max="16" width="12.7109375" customWidth="1"/>
    <col min="17" max="17" width="13.7109375" customWidth="1"/>
    <col min="18" max="18" width="12.7109375" customWidth="1"/>
    <col min="19" max="19" width="13.7109375" customWidth="1"/>
  </cols>
  <sheetData>
    <row r="1" spans="1:19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</row>
    <row r="2" spans="1:19" x14ac:dyDescent="0.25">
      <c r="A2" t="s">
        <v>1</v>
      </c>
      <c r="B2">
        <v>0.75768507638072846</v>
      </c>
      <c r="C2">
        <v>4.5878814676216795E-2</v>
      </c>
      <c r="D2">
        <v>0.82230001882175796</v>
      </c>
      <c r="E2">
        <v>3.5058909047637643E-2</v>
      </c>
      <c r="F2">
        <v>0.65043478260869558</v>
      </c>
      <c r="G2">
        <v>7.373731473900888E-2</v>
      </c>
      <c r="H2">
        <v>0.86493537015276145</v>
      </c>
      <c r="I2">
        <v>3.3433228386967849E-2</v>
      </c>
      <c r="J2">
        <v>0.5486488695759435</v>
      </c>
      <c r="K2">
        <v>7.082803741346122E-2</v>
      </c>
      <c r="L2">
        <v>0.59388876500945198</v>
      </c>
      <c r="M2">
        <v>6.7506616572944406E-2</v>
      </c>
      <c r="N2">
        <v>0.48531277089689417</v>
      </c>
      <c r="O2">
        <v>8.8091861430409243E-2</v>
      </c>
      <c r="P2">
        <v>0.48164169464616774</v>
      </c>
      <c r="Q2">
        <v>8.8742338013501412E-2</v>
      </c>
      <c r="R2">
        <v>0.86966598119858995</v>
      </c>
      <c r="S2">
        <v>3.1446994715940736E-2</v>
      </c>
    </row>
    <row r="3" spans="1:19" x14ac:dyDescent="0.25">
      <c r="A3" t="s">
        <v>2</v>
      </c>
      <c r="B3">
        <v>0.81188030421726087</v>
      </c>
      <c r="C3">
        <v>3.3664409108591899E-2</v>
      </c>
      <c r="D3">
        <v>0.85098437794089965</v>
      </c>
      <c r="E3">
        <v>2.0191060861944523E-2</v>
      </c>
      <c r="F3">
        <v>0.74685990338164254</v>
      </c>
      <c r="G3">
        <v>7.0206015669805902E-2</v>
      </c>
      <c r="H3">
        <v>0.87690070505287898</v>
      </c>
      <c r="I3">
        <v>2.399744541572376E-2</v>
      </c>
      <c r="J3">
        <v>0.60368944787714918</v>
      </c>
      <c r="K3">
        <v>4.5984603845540026E-2</v>
      </c>
      <c r="L3">
        <v>0.66563122807546704</v>
      </c>
      <c r="M3">
        <v>4.3494023575784212E-2</v>
      </c>
      <c r="N3">
        <v>0.57835051167711005</v>
      </c>
      <c r="O3">
        <v>5.5028659115047319E-2</v>
      </c>
      <c r="P3">
        <v>0.57147555076138368</v>
      </c>
      <c r="Q3">
        <v>5.4881109278268836E-2</v>
      </c>
      <c r="R3">
        <v>0.90339174784425269</v>
      </c>
      <c r="S3">
        <v>2.6473336859516576E-2</v>
      </c>
    </row>
    <row r="4" spans="1:19" x14ac:dyDescent="0.25">
      <c r="A4" t="s">
        <v>3</v>
      </c>
      <c r="B4">
        <v>0.7849591983287636</v>
      </c>
      <c r="C4">
        <v>5.1064758426255887E-2</v>
      </c>
      <c r="D4">
        <v>0.82750799924712981</v>
      </c>
      <c r="E4">
        <v>3.2172572922943017E-2</v>
      </c>
      <c r="F4">
        <v>0.71415458937198062</v>
      </c>
      <c r="G4">
        <v>9.8107961532361787E-2</v>
      </c>
      <c r="H4">
        <v>0.85576380728554646</v>
      </c>
      <c r="I4">
        <v>3.2971533046773707E-2</v>
      </c>
      <c r="J4">
        <v>0.55444790070083994</v>
      </c>
      <c r="K4">
        <v>6.5472546069395926E-2</v>
      </c>
      <c r="L4">
        <v>0.62174401830283055</v>
      </c>
      <c r="M4">
        <v>6.7863115231232049E-2</v>
      </c>
      <c r="N4">
        <v>0.52162944933225863</v>
      </c>
      <c r="O4">
        <v>8.8357219164767631E-2</v>
      </c>
      <c r="P4">
        <v>0.51283161991850001</v>
      </c>
      <c r="Q4">
        <v>8.6952455782017504E-2</v>
      </c>
      <c r="R4">
        <v>0.88474993542692038</v>
      </c>
      <c r="S4">
        <v>3.0241553332880165E-2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defaultRowHeight="15" x14ac:dyDescent="0.25"/>
  <cols>
    <col min="1" max="1" width="59.28515625" customWidth="1"/>
    <col min="2" max="2" width="18.140625" customWidth="1"/>
    <col min="3" max="3" width="14.5703125" customWidth="1"/>
    <col min="4" max="4" width="16.28515625" customWidth="1"/>
    <col min="5" max="5" width="16.140625" customWidth="1"/>
    <col min="6" max="6" width="15.28515625" customWidth="1"/>
    <col min="7" max="10" width="12.7109375" customWidth="1"/>
  </cols>
  <sheetData>
    <row r="1" spans="1:10" x14ac:dyDescent="0.25">
      <c r="A1" t="s">
        <v>22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 x14ac:dyDescent="0.25">
      <c r="A2" t="s">
        <v>23</v>
      </c>
      <c r="B2">
        <v>0.75768507638072846</v>
      </c>
      <c r="C2">
        <v>0.82230001882175796</v>
      </c>
      <c r="D2">
        <v>0.65043478260869558</v>
      </c>
      <c r="E2">
        <v>0.86493537015276145</v>
      </c>
      <c r="F2">
        <v>0.5486488695759435</v>
      </c>
      <c r="G2">
        <v>0.59388876500945198</v>
      </c>
      <c r="H2">
        <v>0.48531277089689417</v>
      </c>
      <c r="I2">
        <v>0.48164169464616774</v>
      </c>
      <c r="J2">
        <v>0.86966598119858995</v>
      </c>
    </row>
    <row r="3" spans="1:10" x14ac:dyDescent="0.25">
      <c r="A3" t="s">
        <v>24</v>
      </c>
      <c r="B3">
        <v>0.68661327231121283</v>
      </c>
      <c r="C3">
        <v>0.84668989547038331</v>
      </c>
      <c r="D3">
        <v>0.42105263157894735</v>
      </c>
      <c r="E3">
        <v>0.95217391304347831</v>
      </c>
      <c r="F3">
        <v>0.68571428571428572</v>
      </c>
      <c r="G3">
        <v>0.52173913043478248</v>
      </c>
      <c r="H3">
        <v>0.45502952519857531</v>
      </c>
      <c r="I3">
        <v>0.43660212367270429</v>
      </c>
      <c r="J3">
        <v>0.86489321128909225</v>
      </c>
    </row>
    <row r="4" spans="1:10" x14ac:dyDescent="0.25">
      <c r="A4" t="s">
        <v>25</v>
      </c>
      <c r="B4">
        <v>0.81188030421726087</v>
      </c>
      <c r="C4">
        <v>0.85098437794089965</v>
      </c>
      <c r="D4">
        <v>0.74685990338164254</v>
      </c>
      <c r="E4">
        <v>0.87690070505287898</v>
      </c>
      <c r="F4">
        <v>0.60368944787714918</v>
      </c>
      <c r="G4">
        <v>0.66563122807546704</v>
      </c>
      <c r="H4">
        <v>0.57835051167711005</v>
      </c>
      <c r="I4">
        <v>0.57147555076138368</v>
      </c>
      <c r="J4">
        <v>0.90339174784425269</v>
      </c>
    </row>
    <row r="5" spans="1:10" x14ac:dyDescent="0.25">
      <c r="A5" t="s">
        <v>26</v>
      </c>
      <c r="B5">
        <v>0.7250381388253242</v>
      </c>
      <c r="C5">
        <v>0.85540069686411146</v>
      </c>
      <c r="D5">
        <v>0.50877192982456143</v>
      </c>
      <c r="E5">
        <v>0.94130434782608696</v>
      </c>
      <c r="F5">
        <v>0.68235294117647061</v>
      </c>
      <c r="G5">
        <v>0.58291457286432158</v>
      </c>
      <c r="H5">
        <v>0.50553772777559691</v>
      </c>
      <c r="I5">
        <v>0.4976909938215629</v>
      </c>
      <c r="J5">
        <v>0.88375286041189927</v>
      </c>
    </row>
    <row r="6" spans="1:10" x14ac:dyDescent="0.25">
      <c r="A6" t="s">
        <v>27</v>
      </c>
      <c r="B6">
        <v>0.7849591983287636</v>
      </c>
      <c r="C6">
        <v>0.82750799924712981</v>
      </c>
      <c r="D6">
        <v>0.71415458937198062</v>
      </c>
      <c r="E6">
        <v>0.85576380728554646</v>
      </c>
      <c r="F6">
        <v>0.55444790070083994</v>
      </c>
      <c r="G6">
        <v>0.62174401830283055</v>
      </c>
      <c r="H6">
        <v>0.52162944933225863</v>
      </c>
      <c r="I6">
        <v>0.51283161991850001</v>
      </c>
      <c r="J6">
        <v>0.88474993542692038</v>
      </c>
    </row>
    <row r="7" spans="1:10" x14ac:dyDescent="0.25">
      <c r="A7" t="s">
        <v>28</v>
      </c>
      <c r="B7">
        <v>0.72616323417238759</v>
      </c>
      <c r="C7">
        <v>0.8519163763066202</v>
      </c>
      <c r="D7">
        <v>0.51754385964912286</v>
      </c>
      <c r="E7">
        <v>0.93478260869565222</v>
      </c>
      <c r="F7">
        <v>0.6629213483146067</v>
      </c>
      <c r="G7">
        <v>0.58128078817733975</v>
      </c>
      <c r="H7">
        <v>0.49856004465993015</v>
      </c>
      <c r="I7">
        <v>0.49298555544009098</v>
      </c>
      <c r="J7">
        <v>0.87190122044241025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"/>
  <sheetViews>
    <sheetView topLeftCell="H1" workbookViewId="0">
      <selection sqref="A1:S7"/>
    </sheetView>
  </sheetViews>
  <sheetFormatPr defaultRowHeight="15" x14ac:dyDescent="0.25"/>
  <cols>
    <col min="1" max="1" width="59.28515625" customWidth="1"/>
    <col min="2" max="2" width="18.140625" customWidth="1"/>
    <col min="3" max="3" width="15.85546875" customWidth="1"/>
    <col min="4" max="4" width="14.5703125" customWidth="1"/>
    <col min="5" max="5" width="13.7109375" customWidth="1"/>
    <col min="6" max="6" width="16.28515625" customWidth="1"/>
    <col min="7" max="7" width="14" customWidth="1"/>
    <col min="8" max="8" width="16.140625" customWidth="1"/>
    <col min="9" max="9" width="13.85546875" customWidth="1"/>
    <col min="10" max="10" width="15.28515625" customWidth="1"/>
    <col min="11" max="11" width="13.7109375" customWidth="1"/>
    <col min="12" max="12" width="12.7109375" customWidth="1"/>
    <col min="13" max="13" width="13.7109375" customWidth="1"/>
    <col min="14" max="14" width="12.7109375" customWidth="1"/>
    <col min="15" max="15" width="13.7109375" customWidth="1"/>
    <col min="16" max="16" width="12.7109375" customWidth="1"/>
    <col min="17" max="17" width="13.7109375" customWidth="1"/>
    <col min="18" max="18" width="12.7109375" customWidth="1"/>
    <col min="19" max="19" width="13.7109375" customWidth="1"/>
    <col min="20" max="20" width="20.140625" customWidth="1"/>
    <col min="21" max="21" width="20.7109375" customWidth="1"/>
    <col min="22" max="22" width="30.28515625" customWidth="1"/>
  </cols>
  <sheetData>
    <row r="1" spans="1:22" x14ac:dyDescent="0.25">
      <c r="A1" t="s">
        <v>38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</row>
    <row r="2" spans="1:22" x14ac:dyDescent="0.25">
      <c r="A2" t="s">
        <v>43</v>
      </c>
      <c r="B2">
        <v>0.7849591983287636</v>
      </c>
      <c r="C2">
        <v>5.1064758426255887E-2</v>
      </c>
      <c r="D2">
        <v>0.82750799924712981</v>
      </c>
      <c r="E2">
        <v>3.2172572922943017E-2</v>
      </c>
      <c r="F2">
        <v>0.71415458937198062</v>
      </c>
      <c r="G2">
        <v>9.8107961532361787E-2</v>
      </c>
      <c r="H2">
        <v>0.85576380728554646</v>
      </c>
      <c r="I2">
        <v>3.2971533046773707E-2</v>
      </c>
      <c r="J2">
        <v>0.55444790070083994</v>
      </c>
      <c r="K2">
        <v>6.5472546069395926E-2</v>
      </c>
      <c r="L2">
        <v>0.62174401830283055</v>
      </c>
      <c r="M2">
        <v>6.7863115231232049E-2</v>
      </c>
      <c r="N2">
        <v>0.52162944933225863</v>
      </c>
      <c r="O2">
        <v>8.8357219164767631E-2</v>
      </c>
      <c r="P2">
        <v>0.51283161991850001</v>
      </c>
      <c r="Q2">
        <v>8.6952455782017504E-2</v>
      </c>
      <c r="R2">
        <v>0.88474993542692038</v>
      </c>
      <c r="S2">
        <v>3.0241553332880165E-2</v>
      </c>
      <c r="T2">
        <v>3.1449009999999999E-2</v>
      </c>
      <c r="U2">
        <v>0.13662269452286843</v>
      </c>
      <c r="V2" t="s">
        <v>70</v>
      </c>
    </row>
    <row r="3" spans="1:22" x14ac:dyDescent="0.25">
      <c r="A3" t="s">
        <v>44</v>
      </c>
      <c r="B3">
        <v>0.72616323417238759</v>
      </c>
      <c r="D3">
        <v>0.8519163763066202</v>
      </c>
      <c r="F3">
        <v>0.51754385964912286</v>
      </c>
      <c r="H3">
        <v>0.93478260869565222</v>
      </c>
      <c r="J3">
        <v>0.6629213483146067</v>
      </c>
      <c r="L3">
        <v>0.58128078817733975</v>
      </c>
      <c r="N3">
        <v>0.49856004465993015</v>
      </c>
      <c r="P3">
        <v>0.49298555544009098</v>
      </c>
      <c r="R3">
        <v>0.87190122044241025</v>
      </c>
      <c r="T3">
        <v>7.4315599999999996E-2</v>
      </c>
      <c r="U3">
        <v>0.12946968641114981</v>
      </c>
      <c r="V3" t="s">
        <v>71</v>
      </c>
    </row>
    <row r="4" spans="1:22" x14ac:dyDescent="0.25">
      <c r="A4" t="s">
        <v>39</v>
      </c>
      <c r="B4">
        <v>0.75768507638072846</v>
      </c>
      <c r="C4">
        <v>4.5878814676216795E-2</v>
      </c>
      <c r="D4">
        <v>0.82230001882175796</v>
      </c>
      <c r="E4">
        <v>3.5058909047637643E-2</v>
      </c>
      <c r="F4">
        <v>0.65043478260869558</v>
      </c>
      <c r="G4">
        <v>7.373731473900888E-2</v>
      </c>
      <c r="H4">
        <v>0.86493537015276145</v>
      </c>
      <c r="I4">
        <v>3.3433228386967849E-2</v>
      </c>
      <c r="J4">
        <v>0.5486488695759435</v>
      </c>
      <c r="K4">
        <v>7.082803741346122E-2</v>
      </c>
      <c r="L4">
        <v>0.59388876500945198</v>
      </c>
      <c r="M4">
        <v>6.7506616572944406E-2</v>
      </c>
      <c r="N4">
        <v>0.48531277089689417</v>
      </c>
      <c r="O4">
        <v>8.8091861430409243E-2</v>
      </c>
      <c r="P4">
        <v>0.48164169464616774</v>
      </c>
      <c r="Q4">
        <v>8.8742338013501412E-2</v>
      </c>
      <c r="R4">
        <v>0.86966598119858995</v>
      </c>
      <c r="S4">
        <v>3.1446994715940736E-2</v>
      </c>
      <c r="T4">
        <v>2.0251559999999998E-2</v>
      </c>
      <c r="U4">
        <v>8.7986069264069239E-2</v>
      </c>
      <c r="V4" t="s">
        <v>66</v>
      </c>
    </row>
    <row r="5" spans="1:22" x14ac:dyDescent="0.25">
      <c r="A5" t="s">
        <v>40</v>
      </c>
      <c r="B5">
        <v>0.68661327231121283</v>
      </c>
      <c r="D5">
        <v>0.84668989547038331</v>
      </c>
      <c r="F5">
        <v>0.42105263157894735</v>
      </c>
      <c r="H5">
        <v>0.95217391304347831</v>
      </c>
      <c r="J5">
        <v>0.68571428571428572</v>
      </c>
      <c r="L5">
        <v>0.52173913043478248</v>
      </c>
      <c r="N5">
        <v>0.45502952519857531</v>
      </c>
      <c r="P5">
        <v>0.43660212367270429</v>
      </c>
      <c r="R5">
        <v>0.86489321128909225</v>
      </c>
      <c r="T5">
        <v>5.7565600000000001E-2</v>
      </c>
      <c r="U5">
        <v>0.10028850174216028</v>
      </c>
      <c r="V5" t="s">
        <v>67</v>
      </c>
    </row>
    <row r="6" spans="1:22" x14ac:dyDescent="0.25">
      <c r="A6" t="s">
        <v>41</v>
      </c>
      <c r="B6">
        <v>0.81188030421726087</v>
      </c>
      <c r="C6">
        <v>3.3664409108591899E-2</v>
      </c>
      <c r="D6">
        <v>0.85098437794089965</v>
      </c>
      <c r="E6">
        <v>2.0191060861944523E-2</v>
      </c>
      <c r="F6">
        <v>0.74685990338164254</v>
      </c>
      <c r="G6">
        <v>7.0206015669805902E-2</v>
      </c>
      <c r="H6">
        <v>0.87690070505287898</v>
      </c>
      <c r="I6">
        <v>2.399744541572376E-2</v>
      </c>
      <c r="J6">
        <v>0.60368944787714918</v>
      </c>
      <c r="K6">
        <v>4.5984603845540026E-2</v>
      </c>
      <c r="L6">
        <v>0.66563122807546704</v>
      </c>
      <c r="M6">
        <v>4.3494023575784212E-2</v>
      </c>
      <c r="N6">
        <v>0.57835051167711005</v>
      </c>
      <c r="O6">
        <v>5.5028659115047319E-2</v>
      </c>
      <c r="P6">
        <v>0.57147555076138368</v>
      </c>
      <c r="Q6">
        <v>5.4881109278268836E-2</v>
      </c>
      <c r="R6">
        <v>0.90339174784425269</v>
      </c>
      <c r="S6">
        <v>2.6473336859516576E-2</v>
      </c>
      <c r="T6">
        <v>3.5316319999999998E-2</v>
      </c>
      <c r="U6">
        <v>0.15340231865236215</v>
      </c>
      <c r="V6" t="s">
        <v>68</v>
      </c>
    </row>
    <row r="7" spans="1:22" x14ac:dyDescent="0.25">
      <c r="A7" t="s">
        <v>42</v>
      </c>
      <c r="B7">
        <v>0.7250381388253242</v>
      </c>
      <c r="D7">
        <v>0.85540069686411146</v>
      </c>
      <c r="F7">
        <v>0.50877192982456143</v>
      </c>
      <c r="H7">
        <v>0.94130434782608696</v>
      </c>
      <c r="J7">
        <v>0.68235294117647061</v>
      </c>
      <c r="L7">
        <v>0.58291457286432158</v>
      </c>
      <c r="N7">
        <v>0.50553772777559691</v>
      </c>
      <c r="P7">
        <v>0.4976909938215629</v>
      </c>
      <c r="R7">
        <v>0.88375286041189927</v>
      </c>
      <c r="T7">
        <v>0.12377779999999999</v>
      </c>
      <c r="U7">
        <v>0.21564076655052264</v>
      </c>
      <c r="V7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3C4EF-40A2-4B01-BE46-0EB78F727FB8}">
  <dimension ref="A1:S21"/>
  <sheetViews>
    <sheetView tabSelected="1" topLeftCell="A6" workbookViewId="0">
      <selection activeCell="H24" sqref="H24"/>
    </sheetView>
  </sheetViews>
  <sheetFormatPr defaultRowHeight="15" x14ac:dyDescent="0.25"/>
  <cols>
    <col min="1" max="1" width="60.85546875" bestFit="1" customWidth="1"/>
    <col min="2" max="19" width="14.7109375" customWidth="1"/>
  </cols>
  <sheetData>
    <row r="1" spans="1:19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</row>
    <row r="2" spans="1:19" x14ac:dyDescent="0.25">
      <c r="A2" t="s">
        <v>27</v>
      </c>
      <c r="B2">
        <v>0.7849591983287636</v>
      </c>
      <c r="C2">
        <v>5.1064758426255887E-2</v>
      </c>
      <c r="D2">
        <v>0.82750799924712981</v>
      </c>
      <c r="E2">
        <v>3.2172572922943017E-2</v>
      </c>
      <c r="F2">
        <v>0.71415458937198062</v>
      </c>
      <c r="G2">
        <v>9.8107961532361787E-2</v>
      </c>
      <c r="H2">
        <v>0.85576380728554646</v>
      </c>
      <c r="I2">
        <v>3.2971533046773707E-2</v>
      </c>
      <c r="J2">
        <v>0.55444790070083994</v>
      </c>
      <c r="K2">
        <v>6.5472546069395926E-2</v>
      </c>
      <c r="L2">
        <v>0.62174401830283055</v>
      </c>
      <c r="M2">
        <v>6.7863115231232049E-2</v>
      </c>
      <c r="N2">
        <v>0.52162944933225863</v>
      </c>
      <c r="O2">
        <v>8.8357219164767631E-2</v>
      </c>
      <c r="P2">
        <v>0.51283161991850001</v>
      </c>
      <c r="Q2">
        <v>8.6952455782017504E-2</v>
      </c>
      <c r="R2">
        <v>0.88474993542692038</v>
      </c>
      <c r="S2">
        <v>3.0241553332880165E-2</v>
      </c>
    </row>
    <row r="3" spans="1:19" x14ac:dyDescent="0.25">
      <c r="A3" t="s">
        <v>28</v>
      </c>
      <c r="B3">
        <v>0.72616323417238759</v>
      </c>
      <c r="D3">
        <v>0.8519163763066202</v>
      </c>
      <c r="F3">
        <v>0.51754385964912286</v>
      </c>
      <c r="H3">
        <v>0.93478260869565222</v>
      </c>
      <c r="J3">
        <v>0.6629213483146067</v>
      </c>
      <c r="L3">
        <v>0.58128078817733975</v>
      </c>
      <c r="N3">
        <v>0.49856004465993015</v>
      </c>
      <c r="P3">
        <v>0.49298555544009098</v>
      </c>
      <c r="R3">
        <v>0.87190122044241025</v>
      </c>
    </row>
    <row r="4" spans="1:19" x14ac:dyDescent="0.25">
      <c r="A4" t="s">
        <v>23</v>
      </c>
      <c r="B4">
        <v>0.75768507638072846</v>
      </c>
      <c r="C4">
        <v>4.5878814676216795E-2</v>
      </c>
      <c r="D4">
        <v>0.82230001882175796</v>
      </c>
      <c r="E4">
        <v>3.5058909047637643E-2</v>
      </c>
      <c r="F4">
        <v>0.65043478260869558</v>
      </c>
      <c r="G4">
        <v>7.373731473900888E-2</v>
      </c>
      <c r="H4">
        <v>0.86493537015276145</v>
      </c>
      <c r="I4">
        <v>3.3433228386967849E-2</v>
      </c>
      <c r="J4">
        <v>0.5486488695759435</v>
      </c>
      <c r="K4">
        <v>7.082803741346122E-2</v>
      </c>
      <c r="L4">
        <v>0.59388876500945198</v>
      </c>
      <c r="M4">
        <v>6.7506616572944406E-2</v>
      </c>
      <c r="N4">
        <v>0.48531277089689417</v>
      </c>
      <c r="O4">
        <v>8.8091861430409243E-2</v>
      </c>
      <c r="P4">
        <v>0.48164169464616774</v>
      </c>
      <c r="Q4">
        <v>8.8742338013501412E-2</v>
      </c>
      <c r="R4">
        <v>0.86966598119858995</v>
      </c>
      <c r="S4">
        <v>3.1446994715940736E-2</v>
      </c>
    </row>
    <row r="5" spans="1:19" x14ac:dyDescent="0.25">
      <c r="A5" t="s">
        <v>24</v>
      </c>
      <c r="B5">
        <v>0.68661327231121283</v>
      </c>
      <c r="D5">
        <v>0.84668989547038331</v>
      </c>
      <c r="F5">
        <v>0.42105263157894735</v>
      </c>
      <c r="H5">
        <v>0.95217391304347831</v>
      </c>
      <c r="J5">
        <v>0.68571428571428572</v>
      </c>
      <c r="L5">
        <v>0.52173913043478248</v>
      </c>
      <c r="N5">
        <v>0.45502952519857531</v>
      </c>
      <c r="P5">
        <v>0.43660212367270429</v>
      </c>
      <c r="R5">
        <v>0.86489321128909225</v>
      </c>
    </row>
    <row r="6" spans="1:19" x14ac:dyDescent="0.25">
      <c r="A6" t="s">
        <v>25</v>
      </c>
      <c r="B6">
        <v>0.81188030421726087</v>
      </c>
      <c r="C6">
        <v>3.3664409108591899E-2</v>
      </c>
      <c r="D6">
        <v>0.85098437794089965</v>
      </c>
      <c r="E6">
        <v>2.0191060861944523E-2</v>
      </c>
      <c r="F6">
        <v>0.74685990338164254</v>
      </c>
      <c r="G6">
        <v>7.0206015669805902E-2</v>
      </c>
      <c r="H6">
        <v>0.87690070505287898</v>
      </c>
      <c r="I6">
        <v>2.399744541572376E-2</v>
      </c>
      <c r="J6">
        <v>0.60368944787714918</v>
      </c>
      <c r="K6">
        <v>4.5984603845540026E-2</v>
      </c>
      <c r="L6">
        <v>0.66563122807546704</v>
      </c>
      <c r="M6">
        <v>4.3494023575784212E-2</v>
      </c>
      <c r="N6">
        <v>0.57835051167711005</v>
      </c>
      <c r="O6">
        <v>5.5028659115047319E-2</v>
      </c>
      <c r="P6">
        <v>0.57147555076138368</v>
      </c>
      <c r="Q6">
        <v>5.4881109278268836E-2</v>
      </c>
      <c r="R6">
        <v>0.90339174784425269</v>
      </c>
      <c r="S6">
        <v>2.6473336859516576E-2</v>
      </c>
    </row>
    <row r="7" spans="1:19" x14ac:dyDescent="0.25">
      <c r="A7" t="s">
        <v>26</v>
      </c>
      <c r="B7">
        <v>0.7250381388253242</v>
      </c>
      <c r="D7">
        <v>0.85540069686411146</v>
      </c>
      <c r="F7">
        <v>0.50877192982456143</v>
      </c>
      <c r="H7">
        <v>0.94130434782608696</v>
      </c>
      <c r="J7">
        <v>0.68235294117647061</v>
      </c>
      <c r="L7">
        <v>0.58291457286432158</v>
      </c>
      <c r="N7">
        <v>0.50553772777559691</v>
      </c>
      <c r="P7">
        <v>0.4976909938215629</v>
      </c>
      <c r="R7">
        <v>0.88375286041189927</v>
      </c>
    </row>
    <row r="9" spans="1:19" x14ac:dyDescent="0.25">
      <c r="B9" t="str">
        <f>TEXT(B2,"0.0000") &amp; " ± " &amp; TEXT(C2,"0.0000")</f>
        <v>0.7850 ± 0.0511</v>
      </c>
      <c r="C9" t="str">
        <f t="shared" ref="C9:S14" si="0">TEXT(C2,"0.0000") &amp; " ± " &amp; TEXT(D2,"0.0000")</f>
        <v>0.0511 ± 0.8275</v>
      </c>
      <c r="D9" t="str">
        <f t="shared" si="0"/>
        <v>0.8275 ± 0.0322</v>
      </c>
      <c r="E9" t="str">
        <f t="shared" si="0"/>
        <v>0.0322 ± 0.7142</v>
      </c>
      <c r="F9" t="str">
        <f t="shared" si="0"/>
        <v>0.7142 ± 0.0981</v>
      </c>
      <c r="G9" t="str">
        <f t="shared" si="0"/>
        <v>0.0981 ± 0.8558</v>
      </c>
      <c r="H9" t="str">
        <f t="shared" si="0"/>
        <v>0.8558 ± 0.0330</v>
      </c>
      <c r="I9" t="str">
        <f t="shared" si="0"/>
        <v>0.0330 ± 0.5544</v>
      </c>
      <c r="J9" t="str">
        <f t="shared" si="0"/>
        <v>0.5544 ± 0.0655</v>
      </c>
      <c r="K9" t="str">
        <f t="shared" si="0"/>
        <v>0.0655 ± 0.6217</v>
      </c>
      <c r="L9" t="str">
        <f t="shared" si="0"/>
        <v>0.6217 ± 0.0679</v>
      </c>
      <c r="M9" t="str">
        <f t="shared" si="0"/>
        <v>0.0679 ± 0.5216</v>
      </c>
      <c r="N9" t="str">
        <f t="shared" si="0"/>
        <v>0.5216 ± 0.0884</v>
      </c>
      <c r="O9" t="str">
        <f t="shared" si="0"/>
        <v>0.0884 ± 0.5128</v>
      </c>
      <c r="P9" t="str">
        <f t="shared" si="0"/>
        <v>0.5128 ± 0.0870</v>
      </c>
      <c r="Q9" t="str">
        <f t="shared" si="0"/>
        <v>0.0870 ± 0.8847</v>
      </c>
      <c r="R9" t="str">
        <f t="shared" si="0"/>
        <v>0.8847 ± 0.0302</v>
      </c>
      <c r="S9" t="str">
        <f t="shared" si="0"/>
        <v>0.0302 ± 0.0000</v>
      </c>
    </row>
    <row r="10" spans="1:19" x14ac:dyDescent="0.25">
      <c r="B10" t="str">
        <f t="shared" ref="B10:Q14" si="1">TEXT(B3,"0.0000") &amp; " ± " &amp; TEXT(C3,"0.0000")</f>
        <v>0.7262 ± 0.0000</v>
      </c>
      <c r="C10" t="str">
        <f t="shared" si="1"/>
        <v>0.0000 ± 0.8519</v>
      </c>
      <c r="D10" t="str">
        <f t="shared" si="1"/>
        <v>0.8519 ± 0.0000</v>
      </c>
      <c r="E10" t="str">
        <f t="shared" si="1"/>
        <v>0.0000 ± 0.5175</v>
      </c>
      <c r="F10" t="str">
        <f t="shared" si="1"/>
        <v>0.5175 ± 0.0000</v>
      </c>
      <c r="G10" t="str">
        <f t="shared" si="1"/>
        <v>0.0000 ± 0.9348</v>
      </c>
      <c r="H10" t="str">
        <f t="shared" si="1"/>
        <v>0.9348 ± 0.0000</v>
      </c>
      <c r="I10" t="str">
        <f t="shared" si="1"/>
        <v>0.0000 ± 0.6629</v>
      </c>
      <c r="J10" t="str">
        <f t="shared" si="1"/>
        <v>0.6629 ± 0.0000</v>
      </c>
      <c r="K10" t="str">
        <f t="shared" si="1"/>
        <v>0.0000 ± 0.5813</v>
      </c>
      <c r="L10" t="str">
        <f t="shared" si="1"/>
        <v>0.5813 ± 0.0000</v>
      </c>
      <c r="M10" t="str">
        <f t="shared" si="1"/>
        <v>0.0000 ± 0.4986</v>
      </c>
      <c r="N10" t="str">
        <f t="shared" si="1"/>
        <v>0.4986 ± 0.0000</v>
      </c>
      <c r="O10" t="str">
        <f t="shared" si="1"/>
        <v>0.0000 ± 0.4930</v>
      </c>
      <c r="P10" t="str">
        <f t="shared" si="1"/>
        <v>0.4930 ± 0.0000</v>
      </c>
      <c r="Q10" t="str">
        <f t="shared" si="1"/>
        <v>0.0000 ± 0.8719</v>
      </c>
      <c r="R10" t="str">
        <f t="shared" si="0"/>
        <v>0.8719 ± 0.0000</v>
      </c>
      <c r="S10" t="str">
        <f t="shared" si="0"/>
        <v>0.0000 ± 0.0000</v>
      </c>
    </row>
    <row r="11" spans="1:19" x14ac:dyDescent="0.25">
      <c r="B11" t="str">
        <f t="shared" si="1"/>
        <v>0.7577 ± 0.0459</v>
      </c>
      <c r="C11" t="str">
        <f t="shared" si="0"/>
        <v>0.0459 ± 0.8223</v>
      </c>
      <c r="D11" t="str">
        <f t="shared" si="0"/>
        <v>0.8223 ± 0.0351</v>
      </c>
      <c r="E11" t="str">
        <f t="shared" si="0"/>
        <v>0.0351 ± 0.6504</v>
      </c>
      <c r="F11" t="str">
        <f t="shared" si="0"/>
        <v>0.6504 ± 0.0737</v>
      </c>
      <c r="G11" t="str">
        <f t="shared" si="0"/>
        <v>0.0737 ± 0.8649</v>
      </c>
      <c r="H11" t="str">
        <f t="shared" si="0"/>
        <v>0.8649 ± 0.0334</v>
      </c>
      <c r="I11" t="str">
        <f t="shared" si="0"/>
        <v>0.0334 ± 0.5486</v>
      </c>
      <c r="J11" t="str">
        <f t="shared" si="0"/>
        <v>0.5486 ± 0.0708</v>
      </c>
      <c r="K11" t="str">
        <f t="shared" si="0"/>
        <v>0.0708 ± 0.5939</v>
      </c>
      <c r="L11" t="str">
        <f t="shared" si="0"/>
        <v>0.5939 ± 0.0675</v>
      </c>
      <c r="M11" t="str">
        <f t="shared" si="0"/>
        <v>0.0675 ± 0.4853</v>
      </c>
      <c r="N11" t="str">
        <f t="shared" si="0"/>
        <v>0.4853 ± 0.0881</v>
      </c>
      <c r="O11" t="str">
        <f t="shared" si="0"/>
        <v>0.0881 ± 0.4816</v>
      </c>
      <c r="P11" t="str">
        <f t="shared" si="0"/>
        <v>0.4816 ± 0.0887</v>
      </c>
      <c r="Q11" t="str">
        <f t="shared" si="0"/>
        <v>0.0887 ± 0.8697</v>
      </c>
      <c r="R11" t="str">
        <f t="shared" si="0"/>
        <v>0.8697 ± 0.0314</v>
      </c>
      <c r="S11" t="str">
        <f t="shared" si="0"/>
        <v>0.0314 ± 0.0000</v>
      </c>
    </row>
    <row r="12" spans="1:19" x14ac:dyDescent="0.25">
      <c r="B12" t="str">
        <f t="shared" si="1"/>
        <v>0.6866 ± 0.0000</v>
      </c>
      <c r="C12" t="str">
        <f t="shared" si="0"/>
        <v>0.0000 ± 0.8467</v>
      </c>
      <c r="D12" t="str">
        <f t="shared" si="0"/>
        <v>0.8467 ± 0.0000</v>
      </c>
      <c r="E12" t="str">
        <f t="shared" si="0"/>
        <v>0.0000 ± 0.4211</v>
      </c>
      <c r="F12" t="str">
        <f t="shared" si="0"/>
        <v>0.4211 ± 0.0000</v>
      </c>
      <c r="G12" t="str">
        <f t="shared" si="0"/>
        <v>0.0000 ± 0.9522</v>
      </c>
      <c r="H12" t="str">
        <f t="shared" si="0"/>
        <v>0.9522 ± 0.0000</v>
      </c>
      <c r="I12" t="str">
        <f t="shared" si="0"/>
        <v>0.0000 ± 0.6857</v>
      </c>
      <c r="J12" t="str">
        <f t="shared" si="0"/>
        <v>0.6857 ± 0.0000</v>
      </c>
      <c r="K12" t="str">
        <f t="shared" si="0"/>
        <v>0.0000 ± 0.5217</v>
      </c>
      <c r="L12" t="str">
        <f t="shared" si="0"/>
        <v>0.5217 ± 0.0000</v>
      </c>
      <c r="M12" t="str">
        <f t="shared" si="0"/>
        <v>0.0000 ± 0.4550</v>
      </c>
      <c r="N12" t="str">
        <f t="shared" si="0"/>
        <v>0.4550 ± 0.0000</v>
      </c>
      <c r="O12" t="str">
        <f t="shared" si="0"/>
        <v>0.0000 ± 0.4366</v>
      </c>
      <c r="P12" t="str">
        <f t="shared" si="0"/>
        <v>0.4366 ± 0.0000</v>
      </c>
      <c r="Q12" t="str">
        <f t="shared" si="0"/>
        <v>0.0000 ± 0.8649</v>
      </c>
      <c r="R12" t="str">
        <f t="shared" si="0"/>
        <v>0.8649 ± 0.0000</v>
      </c>
      <c r="S12" t="str">
        <f t="shared" si="0"/>
        <v>0.0000 ± 0.0000</v>
      </c>
    </row>
    <row r="13" spans="1:19" x14ac:dyDescent="0.25">
      <c r="B13" t="str">
        <f t="shared" si="1"/>
        <v>0.8119 ± 0.0337</v>
      </c>
      <c r="C13" t="str">
        <f t="shared" si="0"/>
        <v>0.0337 ± 0.8510</v>
      </c>
      <c r="D13" t="str">
        <f t="shared" si="0"/>
        <v>0.8510 ± 0.0202</v>
      </c>
      <c r="E13" t="str">
        <f t="shared" si="0"/>
        <v>0.0202 ± 0.7469</v>
      </c>
      <c r="F13" t="str">
        <f t="shared" si="0"/>
        <v>0.7469 ± 0.0702</v>
      </c>
      <c r="G13" t="str">
        <f t="shared" si="0"/>
        <v>0.0702 ± 0.8769</v>
      </c>
      <c r="H13" t="str">
        <f t="shared" si="0"/>
        <v>0.8769 ± 0.0240</v>
      </c>
      <c r="I13" t="str">
        <f t="shared" si="0"/>
        <v>0.0240 ± 0.6037</v>
      </c>
      <c r="J13" t="str">
        <f t="shared" si="0"/>
        <v>0.6037 ± 0.0460</v>
      </c>
      <c r="K13" t="str">
        <f t="shared" si="0"/>
        <v>0.0460 ± 0.6656</v>
      </c>
      <c r="L13" t="str">
        <f t="shared" si="0"/>
        <v>0.6656 ± 0.0435</v>
      </c>
      <c r="M13" t="str">
        <f t="shared" si="0"/>
        <v>0.0435 ± 0.5784</v>
      </c>
      <c r="N13" t="str">
        <f t="shared" si="0"/>
        <v>0.5784 ± 0.0550</v>
      </c>
      <c r="O13" t="str">
        <f t="shared" si="0"/>
        <v>0.0550 ± 0.5715</v>
      </c>
      <c r="P13" t="str">
        <f t="shared" si="0"/>
        <v>0.5715 ± 0.0549</v>
      </c>
      <c r="Q13" t="str">
        <f t="shared" si="0"/>
        <v>0.0549 ± 0.9034</v>
      </c>
      <c r="R13" t="str">
        <f t="shared" si="0"/>
        <v>0.9034 ± 0.0265</v>
      </c>
      <c r="S13" t="str">
        <f t="shared" si="0"/>
        <v>0.0265 ± 0.0000</v>
      </c>
    </row>
    <row r="14" spans="1:19" x14ac:dyDescent="0.25">
      <c r="B14" t="str">
        <f t="shared" si="1"/>
        <v>0.7250 ± 0.0000</v>
      </c>
      <c r="C14" t="str">
        <f t="shared" si="0"/>
        <v>0.0000 ± 0.8554</v>
      </c>
      <c r="D14" t="str">
        <f t="shared" si="0"/>
        <v>0.8554 ± 0.0000</v>
      </c>
      <c r="E14" t="str">
        <f t="shared" si="0"/>
        <v>0.0000 ± 0.5088</v>
      </c>
      <c r="F14" t="str">
        <f t="shared" si="0"/>
        <v>0.5088 ± 0.0000</v>
      </c>
      <c r="G14" t="str">
        <f t="shared" si="0"/>
        <v>0.0000 ± 0.9413</v>
      </c>
      <c r="H14" t="str">
        <f t="shared" si="0"/>
        <v>0.9413 ± 0.0000</v>
      </c>
      <c r="I14" t="str">
        <f t="shared" si="0"/>
        <v>0.0000 ± 0.6824</v>
      </c>
      <c r="J14" t="str">
        <f t="shared" si="0"/>
        <v>0.6824 ± 0.0000</v>
      </c>
      <c r="K14" t="str">
        <f t="shared" si="0"/>
        <v>0.0000 ± 0.5829</v>
      </c>
      <c r="L14" t="str">
        <f t="shared" si="0"/>
        <v>0.5829 ± 0.0000</v>
      </c>
      <c r="M14" t="str">
        <f t="shared" si="0"/>
        <v>0.0000 ± 0.5055</v>
      </c>
      <c r="N14" t="str">
        <f t="shared" si="0"/>
        <v>0.5055 ± 0.0000</v>
      </c>
      <c r="O14" t="str">
        <f t="shared" si="0"/>
        <v>0.0000 ± 0.4977</v>
      </c>
      <c r="P14" t="str">
        <f t="shared" si="0"/>
        <v>0.4977 ± 0.0000</v>
      </c>
      <c r="Q14" t="str">
        <f t="shared" si="0"/>
        <v>0.0000 ± 0.8838</v>
      </c>
      <c r="R14" t="str">
        <f t="shared" si="0"/>
        <v>0.8838 ± 0.0000</v>
      </c>
      <c r="S14" t="str">
        <f t="shared" si="0"/>
        <v>0.0000 ± 0.0000</v>
      </c>
    </row>
    <row r="16" spans="1:19" x14ac:dyDescent="0.25">
      <c r="D16" t="s">
        <v>72</v>
      </c>
      <c r="E16" t="s">
        <v>78</v>
      </c>
      <c r="F16" t="s">
        <v>84</v>
      </c>
      <c r="G16" t="s">
        <v>90</v>
      </c>
      <c r="H16" t="s">
        <v>96</v>
      </c>
      <c r="I16" t="s">
        <v>102</v>
      </c>
      <c r="J16" t="s">
        <v>108</v>
      </c>
      <c r="K16" t="s">
        <v>114</v>
      </c>
    </row>
    <row r="17" spans="4:11" x14ac:dyDescent="0.25">
      <c r="D17" t="s">
        <v>73</v>
      </c>
      <c r="E17" t="s">
        <v>79</v>
      </c>
      <c r="F17" t="s">
        <v>85</v>
      </c>
      <c r="G17" t="s">
        <v>91</v>
      </c>
      <c r="H17" t="s">
        <v>97</v>
      </c>
      <c r="I17" t="s">
        <v>103</v>
      </c>
      <c r="J17" t="s">
        <v>109</v>
      </c>
      <c r="K17" t="s">
        <v>115</v>
      </c>
    </row>
    <row r="18" spans="4:11" x14ac:dyDescent="0.25">
      <c r="D18" t="s">
        <v>74</v>
      </c>
      <c r="E18" t="s">
        <v>80</v>
      </c>
      <c r="F18" t="s">
        <v>86</v>
      </c>
      <c r="G18" t="s">
        <v>92</v>
      </c>
      <c r="H18" t="s">
        <v>98</v>
      </c>
      <c r="I18" t="s">
        <v>104</v>
      </c>
      <c r="J18" t="s">
        <v>110</v>
      </c>
      <c r="K18" t="s">
        <v>116</v>
      </c>
    </row>
    <row r="19" spans="4:11" x14ac:dyDescent="0.25">
      <c r="D19" t="s">
        <v>75</v>
      </c>
      <c r="E19" t="s">
        <v>81</v>
      </c>
      <c r="F19" t="s">
        <v>87</v>
      </c>
      <c r="G19" t="s">
        <v>93</v>
      </c>
      <c r="H19" t="s">
        <v>99</v>
      </c>
      <c r="I19" t="s">
        <v>105</v>
      </c>
      <c r="J19" t="s">
        <v>111</v>
      </c>
      <c r="K19" t="s">
        <v>117</v>
      </c>
    </row>
    <row r="20" spans="4:11" x14ac:dyDescent="0.25">
      <c r="D20" t="s">
        <v>76</v>
      </c>
      <c r="E20" t="s">
        <v>82</v>
      </c>
      <c r="F20" t="s">
        <v>88</v>
      </c>
      <c r="G20" t="s">
        <v>94</v>
      </c>
      <c r="H20" t="s">
        <v>100</v>
      </c>
      <c r="I20" t="s">
        <v>106</v>
      </c>
      <c r="J20" t="s">
        <v>112</v>
      </c>
      <c r="K20" t="s">
        <v>118</v>
      </c>
    </row>
    <row r="21" spans="4:11" x14ac:dyDescent="0.25">
      <c r="D21" t="s">
        <v>77</v>
      </c>
      <c r="E21" t="s">
        <v>83</v>
      </c>
      <c r="F21" t="s">
        <v>89</v>
      </c>
      <c r="G21" t="s">
        <v>95</v>
      </c>
      <c r="H21" t="s">
        <v>101</v>
      </c>
      <c r="I21" t="s">
        <v>107</v>
      </c>
      <c r="J21" t="s">
        <v>113</v>
      </c>
      <c r="K2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CV_MeanSD</vt:lpstr>
      <vt:lpstr>CV_test_Mean</vt:lpstr>
      <vt:lpstr>pub_results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KASHAN SIDDIQUI</cp:lastModifiedBy>
  <dcterms:modified xsi:type="dcterms:W3CDTF">2026-10-15T16:57:44Z</dcterms:modified>
</cp:coreProperties>
</file>